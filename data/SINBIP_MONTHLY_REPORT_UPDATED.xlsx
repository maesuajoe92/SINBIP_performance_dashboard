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NBIP\"/>
    </mc:Choice>
  </mc:AlternateContent>
  <xr:revisionPtr revIDLastSave="0" documentId="13_ncr:1_{1CD040E5-7540-4C06-9B9A-DE4094783C29}" xr6:coauthVersionLast="47" xr6:coauthVersionMax="47" xr10:uidLastSave="{00000000-0000-0000-0000-000000000000}"/>
  <bookViews>
    <workbookView xWindow="-110" yWindow="-110" windowWidth="19420" windowHeight="10300" tabRatio="842" firstSheet="17" activeTab="23" xr2:uid="{F8571D08-0CEF-4686-B3DA-2404C304F826}"/>
  </bookViews>
  <sheets>
    <sheet name="mar_24" sheetId="1" r:id="rId1"/>
    <sheet name="apr_24" sheetId="2" r:id="rId2"/>
    <sheet name="may_24" sheetId="3" r:id="rId3"/>
    <sheet name="jun_24" sheetId="4" r:id="rId4"/>
    <sheet name="jul_24" sheetId="5" r:id="rId5"/>
    <sheet name="aug_24" sheetId="6" r:id="rId6"/>
    <sheet name="sep_24" sheetId="7" r:id="rId7"/>
    <sheet name="oct_24" sheetId="8" r:id="rId8"/>
    <sheet name="nov_24" sheetId="9" r:id="rId9"/>
    <sheet name="dec_24" sheetId="10" r:id="rId10"/>
    <sheet name="jan_25" sheetId="11" r:id="rId11"/>
    <sheet name="feb_25" sheetId="12" r:id="rId12"/>
    <sheet name="mar_25" sheetId="13" r:id="rId13"/>
    <sheet name="apr_25" sheetId="14" r:id="rId14"/>
    <sheet name="may_25" sheetId="15" r:id="rId15"/>
    <sheet name="jun_25" sheetId="16" r:id="rId16"/>
    <sheet name="jul_25" sheetId="17" r:id="rId17"/>
    <sheet name="aug_25" sheetId="18" r:id="rId18"/>
    <sheet name="sep_25" sheetId="19" r:id="rId19"/>
    <sheet name="oct_25" sheetId="20" r:id="rId20"/>
    <sheet name="nov_25" sheetId="21" r:id="rId21"/>
    <sheet name="dec_25" sheetId="23" r:id="rId22"/>
    <sheet name="jan_26" sheetId="24" r:id="rId23"/>
    <sheet name="Sheet22" sheetId="22" r:id="rId24"/>
  </sheets>
  <definedNames>
    <definedName name="_xlnm._FilterDatabase" localSheetId="23" hidden="1">Sheet22!$A$1:$Z$63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3" i="22" l="1"/>
  <c r="W63" i="22"/>
  <c r="X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3" i="22"/>
  <c r="X44" i="22"/>
  <c r="X45" i="22"/>
  <c r="X46" i="22"/>
  <c r="X47" i="22"/>
  <c r="X48" i="22"/>
  <c r="X49" i="22"/>
  <c r="X50" i="22"/>
  <c r="X51" i="22"/>
  <c r="X52" i="22"/>
  <c r="X53" i="22"/>
  <c r="X54" i="22"/>
  <c r="X55" i="22"/>
  <c r="X56" i="22"/>
  <c r="X57" i="22"/>
  <c r="X58" i="22"/>
  <c r="X59" i="22"/>
  <c r="X60" i="22"/>
  <c r="X61" i="22"/>
  <c r="X62" i="22"/>
  <c r="X2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L22" i="24"/>
  <c r="K63" i="24"/>
  <c r="J63" i="24"/>
  <c r="I63" i="24"/>
  <c r="H63" i="24"/>
  <c r="G63" i="24"/>
  <c r="F63" i="24"/>
  <c r="E63" i="24"/>
  <c r="D63" i="24"/>
  <c r="C63" i="24"/>
  <c r="B63" i="24"/>
  <c r="L62" i="24"/>
  <c r="L61" i="24"/>
  <c r="L60" i="24"/>
  <c r="L59" i="24"/>
  <c r="L58" i="24"/>
  <c r="L57" i="24"/>
  <c r="L56" i="24"/>
  <c r="L55" i="24"/>
  <c r="L54" i="24"/>
  <c r="L53" i="24"/>
  <c r="L52" i="24"/>
  <c r="L51" i="24"/>
  <c r="L50" i="24"/>
  <c r="L49" i="24"/>
  <c r="L48" i="24"/>
  <c r="L47" i="24"/>
  <c r="L46" i="24"/>
  <c r="L45" i="24"/>
  <c r="L44" i="24"/>
  <c r="L43" i="24"/>
  <c r="L42" i="24"/>
  <c r="L41" i="24"/>
  <c r="L40" i="24"/>
  <c r="L39" i="24"/>
  <c r="L38" i="24"/>
  <c r="L37" i="24"/>
  <c r="L36" i="24"/>
  <c r="L35" i="24"/>
  <c r="L34" i="24"/>
  <c r="L33" i="24"/>
  <c r="L32" i="24"/>
  <c r="L31" i="24"/>
  <c r="L30" i="24"/>
  <c r="L29" i="24"/>
  <c r="L28" i="24"/>
  <c r="L27" i="24"/>
  <c r="L26" i="24"/>
  <c r="L25" i="24"/>
  <c r="L24" i="24"/>
  <c r="L23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5" i="24"/>
  <c r="L4" i="24"/>
  <c r="L3" i="24"/>
  <c r="L2" i="24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43" i="22"/>
  <c r="W44" i="22"/>
  <c r="W45" i="22"/>
  <c r="W46" i="22"/>
  <c r="W47" i="22"/>
  <c r="W48" i="22"/>
  <c r="W49" i="22"/>
  <c r="W50" i="22"/>
  <c r="W51" i="22"/>
  <c r="W52" i="22"/>
  <c r="W53" i="22"/>
  <c r="W54" i="22"/>
  <c r="W55" i="22"/>
  <c r="W56" i="22"/>
  <c r="W57" i="22"/>
  <c r="W58" i="22"/>
  <c r="W59" i="22"/>
  <c r="W60" i="22"/>
  <c r="W61" i="22"/>
  <c r="W62" i="22"/>
  <c r="W2" i="22"/>
  <c r="V2" i="22"/>
  <c r="L62" i="21"/>
  <c r="L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2" i="23"/>
  <c r="L62" i="23" s="1"/>
  <c r="B62" i="21"/>
  <c r="C62" i="21"/>
  <c r="D62" i="21"/>
  <c r="E62" i="21"/>
  <c r="F62" i="21"/>
  <c r="G62" i="21"/>
  <c r="H62" i="21"/>
  <c r="I62" i="21"/>
  <c r="J62" i="21"/>
  <c r="K62" i="21"/>
  <c r="D62" i="23"/>
  <c r="E62" i="23"/>
  <c r="F62" i="23"/>
  <c r="G62" i="23"/>
  <c r="H62" i="23"/>
  <c r="I62" i="23"/>
  <c r="J62" i="23"/>
  <c r="K62" i="23"/>
  <c r="C62" i="23"/>
  <c r="B62" i="23"/>
  <c r="L21" i="21"/>
  <c r="B2" i="22"/>
  <c r="C2" i="22"/>
  <c r="D2" i="22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B3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B4" i="22"/>
  <c r="C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B5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B6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B10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B11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B12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B13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B15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B1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B17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B19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B20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B26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B30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B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B34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B35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B36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B37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B38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B40" i="22"/>
  <c r="C40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B41" i="22"/>
  <c r="C41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B42" i="22"/>
  <c r="C42" i="22"/>
  <c r="D42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U42" i="22"/>
  <c r="V42" i="22"/>
  <c r="B43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S43" i="22"/>
  <c r="T43" i="22"/>
  <c r="U43" i="22"/>
  <c r="B44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S44" i="22"/>
  <c r="T44" i="22"/>
  <c r="U44" i="22"/>
  <c r="B45" i="22"/>
  <c r="C45" i="22"/>
  <c r="D45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Q45" i="22"/>
  <c r="R45" i="22"/>
  <c r="S45" i="22"/>
  <c r="T45" i="22"/>
  <c r="U45" i="22"/>
  <c r="B46" i="22"/>
  <c r="C46" i="22"/>
  <c r="D46" i="22"/>
  <c r="E46" i="22"/>
  <c r="F46" i="22"/>
  <c r="G46" i="22"/>
  <c r="H46" i="22"/>
  <c r="I46" i="22"/>
  <c r="J46" i="22"/>
  <c r="K46" i="22"/>
  <c r="L46" i="22"/>
  <c r="M46" i="22"/>
  <c r="N46" i="22"/>
  <c r="O46" i="22"/>
  <c r="P46" i="22"/>
  <c r="Q46" i="22"/>
  <c r="R46" i="22"/>
  <c r="S46" i="22"/>
  <c r="T46" i="22"/>
  <c r="U46" i="22"/>
  <c r="B47" i="22"/>
  <c r="C47" i="22"/>
  <c r="D47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Q47" i="22"/>
  <c r="R47" i="22"/>
  <c r="S47" i="22"/>
  <c r="T47" i="22"/>
  <c r="U47" i="22"/>
  <c r="B48" i="22"/>
  <c r="C48" i="22"/>
  <c r="D48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R48" i="22"/>
  <c r="S48" i="22"/>
  <c r="T48" i="22"/>
  <c r="U48" i="22"/>
  <c r="B49" i="22"/>
  <c r="C49" i="22"/>
  <c r="D49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U49" i="22"/>
  <c r="B50" i="22"/>
  <c r="C50" i="22"/>
  <c r="D50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U50" i="22"/>
  <c r="B51" i="22"/>
  <c r="C51" i="22"/>
  <c r="D51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U51" i="22"/>
  <c r="B52" i="22"/>
  <c r="C52" i="22"/>
  <c r="D52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S52" i="22"/>
  <c r="T52" i="22"/>
  <c r="U52" i="22"/>
  <c r="V52" i="22"/>
  <c r="B53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V53" i="22"/>
  <c r="B54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U54" i="22"/>
  <c r="V54" i="22"/>
  <c r="B55" i="22"/>
  <c r="C55" i="22"/>
  <c r="D55" i="22"/>
  <c r="E55" i="22"/>
  <c r="F55" i="22"/>
  <c r="G55" i="22"/>
  <c r="H55" i="22"/>
  <c r="I55" i="22"/>
  <c r="J55" i="22"/>
  <c r="K55" i="22"/>
  <c r="L55" i="22"/>
  <c r="M55" i="22"/>
  <c r="N55" i="22"/>
  <c r="O55" i="22"/>
  <c r="P55" i="22"/>
  <c r="Q55" i="22"/>
  <c r="R55" i="22"/>
  <c r="S55" i="22"/>
  <c r="T55" i="22"/>
  <c r="U55" i="22"/>
  <c r="B56" i="22"/>
  <c r="C56" i="22"/>
  <c r="D56" i="22"/>
  <c r="E56" i="22"/>
  <c r="F56" i="22"/>
  <c r="G56" i="22"/>
  <c r="H56" i="22"/>
  <c r="I56" i="22"/>
  <c r="J56" i="22"/>
  <c r="K56" i="22"/>
  <c r="L56" i="22"/>
  <c r="M56" i="22"/>
  <c r="N56" i="22"/>
  <c r="O56" i="22"/>
  <c r="P56" i="22"/>
  <c r="Q56" i="22"/>
  <c r="R56" i="22"/>
  <c r="S56" i="22"/>
  <c r="T56" i="22"/>
  <c r="U56" i="22"/>
  <c r="B57" i="22"/>
  <c r="C57" i="22"/>
  <c r="D57" i="22"/>
  <c r="E57" i="22"/>
  <c r="F57" i="22"/>
  <c r="G57" i="22"/>
  <c r="H57" i="22"/>
  <c r="I57" i="22"/>
  <c r="J57" i="22"/>
  <c r="K57" i="22"/>
  <c r="L57" i="22"/>
  <c r="M57" i="22"/>
  <c r="N57" i="22"/>
  <c r="O57" i="22"/>
  <c r="P57" i="22"/>
  <c r="Q57" i="22"/>
  <c r="R57" i="22"/>
  <c r="S57" i="22"/>
  <c r="T57" i="22"/>
  <c r="U57" i="22"/>
  <c r="B58" i="22"/>
  <c r="C58" i="22"/>
  <c r="D58" i="22"/>
  <c r="E58" i="22"/>
  <c r="F58" i="22"/>
  <c r="G58" i="22"/>
  <c r="H58" i="22"/>
  <c r="I58" i="22"/>
  <c r="J58" i="22"/>
  <c r="K58" i="22"/>
  <c r="L58" i="22"/>
  <c r="M58" i="22"/>
  <c r="N58" i="22"/>
  <c r="O58" i="22"/>
  <c r="P58" i="22"/>
  <c r="Q58" i="22"/>
  <c r="R58" i="22"/>
  <c r="S58" i="22"/>
  <c r="T58" i="22"/>
  <c r="U58" i="22"/>
  <c r="B59" i="22"/>
  <c r="C59" i="22"/>
  <c r="D59" i="22"/>
  <c r="E59" i="22"/>
  <c r="F59" i="22"/>
  <c r="G59" i="22"/>
  <c r="H59" i="22"/>
  <c r="I59" i="22"/>
  <c r="J59" i="22"/>
  <c r="K59" i="22"/>
  <c r="L59" i="22"/>
  <c r="M59" i="22"/>
  <c r="N59" i="22"/>
  <c r="O59" i="22"/>
  <c r="P59" i="22"/>
  <c r="Q59" i="22"/>
  <c r="R59" i="22"/>
  <c r="S59" i="22"/>
  <c r="T59" i="22"/>
  <c r="U59" i="22"/>
  <c r="B60" i="22"/>
  <c r="C60" i="22"/>
  <c r="D60" i="22"/>
  <c r="E60" i="22"/>
  <c r="F60" i="22"/>
  <c r="G60" i="22"/>
  <c r="H60" i="22"/>
  <c r="I60" i="22"/>
  <c r="J60" i="22"/>
  <c r="K60" i="22"/>
  <c r="L60" i="22"/>
  <c r="M60" i="22"/>
  <c r="N60" i="22"/>
  <c r="O60" i="22"/>
  <c r="P60" i="22"/>
  <c r="Q60" i="22"/>
  <c r="R60" i="22"/>
  <c r="S60" i="22"/>
  <c r="T60" i="22"/>
  <c r="U60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" i="21"/>
  <c r="L4" i="21"/>
  <c r="V4" i="22" s="1"/>
  <c r="L5" i="21"/>
  <c r="V5" i="22" s="1"/>
  <c r="L6" i="21"/>
  <c r="V6" i="22" s="1"/>
  <c r="L7" i="21"/>
  <c r="V7" i="22" s="1"/>
  <c r="L8" i="21"/>
  <c r="V8" i="22" s="1"/>
  <c r="L9" i="21"/>
  <c r="V9" i="22" s="1"/>
  <c r="L10" i="21"/>
  <c r="V10" i="22" s="1"/>
  <c r="L11" i="21"/>
  <c r="V11" i="22" s="1"/>
  <c r="L12" i="21"/>
  <c r="V12" i="22" s="1"/>
  <c r="L13" i="21"/>
  <c r="L14" i="21"/>
  <c r="L15" i="21"/>
  <c r="L16" i="21"/>
  <c r="V16" i="22" s="1"/>
  <c r="L17" i="21"/>
  <c r="V17" i="22" s="1"/>
  <c r="L19" i="21"/>
  <c r="V19" i="22" s="1"/>
  <c r="L20" i="21"/>
  <c r="V20" i="22" s="1"/>
  <c r="L22" i="21"/>
  <c r="L23" i="21"/>
  <c r="V24" i="22" s="1"/>
  <c r="L24" i="21"/>
  <c r="V25" i="22" s="1"/>
  <c r="L25" i="21"/>
  <c r="V26" i="22" s="1"/>
  <c r="L26" i="21"/>
  <c r="V27" i="22" s="1"/>
  <c r="L27" i="21"/>
  <c r="L28" i="21"/>
  <c r="L29" i="21"/>
  <c r="L30" i="21"/>
  <c r="V31" i="22" s="1"/>
  <c r="L31" i="21"/>
  <c r="V32" i="22" s="1"/>
  <c r="L32" i="21"/>
  <c r="V33" i="22" s="1"/>
  <c r="L33" i="21"/>
  <c r="V34" i="22" s="1"/>
  <c r="L34" i="21"/>
  <c r="V35" i="22" s="1"/>
  <c r="L35" i="21"/>
  <c r="V36" i="22" s="1"/>
  <c r="L36" i="21"/>
  <c r="V37" i="22" s="1"/>
  <c r="L37" i="21"/>
  <c r="V38" i="22" s="1"/>
  <c r="L38" i="21"/>
  <c r="V39" i="22" s="1"/>
  <c r="L39" i="21"/>
  <c r="L40" i="21"/>
  <c r="L41" i="21"/>
  <c r="L42" i="21"/>
  <c r="V43" i="22" s="1"/>
  <c r="L43" i="21"/>
  <c r="V44" i="22" s="1"/>
  <c r="L44" i="21"/>
  <c r="V45" i="22" s="1"/>
  <c r="L45" i="21"/>
  <c r="V46" i="22" s="1"/>
  <c r="L46" i="21"/>
  <c r="V47" i="22" s="1"/>
  <c r="L47" i="21"/>
  <c r="V48" i="22" s="1"/>
  <c r="L48" i="21"/>
  <c r="V49" i="22" s="1"/>
  <c r="L49" i="21"/>
  <c r="V50" i="22" s="1"/>
  <c r="L50" i="21"/>
  <c r="V51" i="22" s="1"/>
  <c r="L51" i="21"/>
  <c r="L52" i="21"/>
  <c r="L53" i="21"/>
  <c r="L54" i="21"/>
  <c r="V55" i="22" s="1"/>
  <c r="L55" i="21"/>
  <c r="V56" i="22" s="1"/>
  <c r="L56" i="21"/>
  <c r="V57" i="22" s="1"/>
  <c r="L57" i="21"/>
  <c r="V58" i="22" s="1"/>
  <c r="L58" i="21"/>
  <c r="V59" i="22" s="1"/>
  <c r="L59" i="21"/>
  <c r="V60" i="22" s="1"/>
  <c r="L60" i="21"/>
  <c r="V61" i="22" s="1"/>
  <c r="L61" i="21"/>
  <c r="V62" i="22" s="1"/>
  <c r="L2" i="21"/>
  <c r="L63" i="24" l="1"/>
  <c r="T63" i="22"/>
  <c r="J63" i="22"/>
  <c r="I63" i="22"/>
  <c r="H63" i="22"/>
  <c r="F63" i="22"/>
  <c r="O63" i="22"/>
  <c r="Q63" i="22"/>
  <c r="L63" i="22"/>
  <c r="E63" i="22"/>
  <c r="B63" i="22"/>
  <c r="M63" i="22"/>
  <c r="K63" i="22"/>
  <c r="U63" i="22"/>
  <c r="R63" i="22"/>
  <c r="C63" i="22"/>
  <c r="N63" i="22"/>
  <c r="S63" i="22"/>
  <c r="G63" i="22"/>
  <c r="P63" i="22"/>
  <c r="D63" i="22"/>
  <c r="V63" i="22"/>
</calcChain>
</file>

<file path=xl/sharedStrings.xml><?xml version="1.0" encoding="utf-8"?>
<sst xmlns="http://schemas.openxmlformats.org/spreadsheetml/2006/main" count="1728" uniqueCount="98">
  <si>
    <t>Location</t>
  </si>
  <si>
    <t>NBIP-NBIP Calls Revenue</t>
  </si>
  <si>
    <t>Fixed Calls Revenue</t>
  </si>
  <si>
    <t>Telekom Calls Revenue</t>
  </si>
  <si>
    <t>BMobile Calls Revenue</t>
  </si>
  <si>
    <t>Intl Calls Revenue</t>
  </si>
  <si>
    <t>A2P SMS Revenue</t>
  </si>
  <si>
    <t>Telekom SMS Revenue</t>
  </si>
  <si>
    <t>BMobile SMS Revenue</t>
  </si>
  <si>
    <t>Intl SMS Revenue</t>
  </si>
  <si>
    <t>Mobile Data Revenue</t>
  </si>
  <si>
    <t>NBIP_ANUHA</t>
  </si>
  <si>
    <t>NBIP_Babasu</t>
  </si>
  <si>
    <t>NBIP_Bambakani</t>
  </si>
  <si>
    <t>NBIP_Baniata</t>
  </si>
  <si>
    <t>NBIP_BELAGA</t>
  </si>
  <si>
    <t>NBIP_BITILA/KUSINI</t>
  </si>
  <si>
    <t>NBIP_BOLITEI</t>
  </si>
  <si>
    <t>NBIP_Bubunughu</t>
  </si>
  <si>
    <t>NBIP_CHIVOKA</t>
  </si>
  <si>
    <t>NBIP_Dokudula</t>
  </si>
  <si>
    <t>NBIP_Gesa</t>
  </si>
  <si>
    <t>NBIP_Ghombua</t>
  </si>
  <si>
    <t>NBIP_Guguha</t>
  </si>
  <si>
    <t>NBIP_Haleatu</t>
  </si>
  <si>
    <t>NBIP_HOFI</t>
  </si>
  <si>
    <t>NBIP_Husuzo</t>
  </si>
  <si>
    <t>NBIP_Jarihana</t>
  </si>
  <si>
    <t>NBIP_Jejevo</t>
  </si>
  <si>
    <t>NBIP_Kavolavata</t>
  </si>
  <si>
    <t>NBIP_Kikinocho</t>
  </si>
  <si>
    <t>NBIP_Koleasi</t>
  </si>
  <si>
    <t>NBIP_Kolochulu</t>
  </si>
  <si>
    <t>NBIP_Kolokofa</t>
  </si>
  <si>
    <t>NBIP_Laugoata</t>
  </si>
  <si>
    <t>NBIP_LELEA</t>
  </si>
  <si>
    <t>NBIP_Leufoman</t>
  </si>
  <si>
    <t>NBIP_Louna</t>
  </si>
  <si>
    <t>NBIP_Malaisu</t>
  </si>
  <si>
    <t>NBIP_Muana</t>
  </si>
  <si>
    <t>NBIP_Mufu</t>
  </si>
  <si>
    <t>NBIP_Nagolau</t>
  </si>
  <si>
    <t>NBIP_Naho</t>
  </si>
  <si>
    <t>NBIP_Nukufero</t>
  </si>
  <si>
    <t>NBIP_O'omoro</t>
  </si>
  <si>
    <t>NBIP_Paragniju</t>
  </si>
  <si>
    <t>NBIP_PENJUKU</t>
  </si>
  <si>
    <t>NBIP_Poro</t>
  </si>
  <si>
    <t>NBIP_RADOI</t>
  </si>
  <si>
    <t>NBIP_Ravusodoulu</t>
  </si>
  <si>
    <t>NBIP_Sali</t>
  </si>
  <si>
    <t>NBIP_Samasodu</t>
  </si>
  <si>
    <t>NBIP_Sanalumu</t>
  </si>
  <si>
    <t>NBIP_Sepi</t>
  </si>
  <si>
    <t>NBIP_Seve</t>
  </si>
  <si>
    <t>NBIP_Sigana</t>
  </si>
  <si>
    <t>NBIP_Sotona</t>
  </si>
  <si>
    <t>NBIP_Tathi</t>
  </si>
  <si>
    <t>NBIP_Tetesalau</t>
  </si>
  <si>
    <t>NBIP_Tiaro</t>
  </si>
  <si>
    <t>NBIP_Tirotonga</t>
  </si>
  <si>
    <t>NBIP_Tiua</t>
  </si>
  <si>
    <t>NBIP_Turarana</t>
  </si>
  <si>
    <t>NBIP_Ughele</t>
  </si>
  <si>
    <t>NBIP_VATORO</t>
  </si>
  <si>
    <t>NBIP_VEURU</t>
  </si>
  <si>
    <t>NBIP_VOGI</t>
  </si>
  <si>
    <t>NBIP_Vuturua</t>
  </si>
  <si>
    <t>NBIP_Wanderer Bay</t>
  </si>
  <si>
    <t>Total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</si>
  <si>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</si>
  <si>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</si>
  <si>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</si>
  <si>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</si>
  <si>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</si>
  <si>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</si>
  <si>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</si>
  <si>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</si>
  <si>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</si>
  <si>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 xml:space="preserve">DEC </t>
  </si>
  <si>
    <t>JAN</t>
  </si>
  <si>
    <t>FEB</t>
  </si>
  <si>
    <t>JUNE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</si>
  <si>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</si>
  <si>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</si>
  <si>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</si>
  <si>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</si>
  <si>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</si>
  <si>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</si>
  <si>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</si>
  <si>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</si>
  <si>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NBIP_CHIVOKO</t>
  </si>
  <si>
    <t xml:space="preserve">NBIP_Husuzo </t>
  </si>
  <si>
    <t>NBIP_Jack Harbour</t>
  </si>
  <si>
    <t>NBIP_Jerico</t>
  </si>
  <si>
    <t xml:space="preserve">NBIP_Kikinocho </t>
  </si>
  <si>
    <t xml:space="preserve">NBIP_Ughele </t>
  </si>
  <si>
    <t xml:space="preserve">NBIP_Kandova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</si>
</sst>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6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/>
    <xf numFmtId="8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vertical="center"/>
    </xf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0" fontId="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433C-1B79-4C4C-9B3A-E8D4666DEEDB}">
  <dimension ref="A1:L60"/>
  <sheetViews>
    <sheetView topLeftCell="A50" workbookViewId="0">
      <selection activeCell="L60" sqref="L60"/>
    </sheetView>
  </sheetViews>
  <sheetFormatPr defaultRowHeight="14.5" x14ac:dyDescent="0.35"/>
  <cols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2">
        <f t="shared" si="0"/>
        <v>0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2">
        <f t="shared" si="0"/>
        <v>0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219.02</v>
      </c>
      <c r="C41" s="6">
        <v>5.89</v>
      </c>
      <c r="D41" s="6">
        <v>3692.42</v>
      </c>
      <c r="E41" s="6">
        <v>81.61</v>
      </c>
      <c r="F41" s="6">
        <v>6.8</v>
      </c>
      <c r="G41" s="6">
        <v>0.3</v>
      </c>
      <c r="H41" s="6">
        <v>140.6</v>
      </c>
      <c r="I41" s="6">
        <v>1.1000000000000001</v>
      </c>
      <c r="J41" s="6">
        <v>0.5</v>
      </c>
      <c r="K41" s="6">
        <v>3349.73</v>
      </c>
      <c r="L41" s="2">
        <f t="shared" si="0"/>
        <v>7497.9700000000012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2">
        <f t="shared" si="0"/>
        <v>0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219.02</v>
      </c>
      <c r="C60" s="7">
        <v>5.89</v>
      </c>
      <c r="D60" s="7">
        <v>3692.42</v>
      </c>
      <c r="E60" s="7">
        <v>81.61</v>
      </c>
      <c r="F60" s="7">
        <v>6.8</v>
      </c>
      <c r="G60" s="7">
        <v>0.3</v>
      </c>
      <c r="H60" s="7">
        <v>140.6</v>
      </c>
      <c r="I60" s="7">
        <v>1.1000000000000001</v>
      </c>
      <c r="J60" s="7">
        <v>0.5</v>
      </c>
      <c r="K60" s="7">
        <v>3349.73</v>
      </c>
      <c r="L60" s="2">
        <f t="shared" si="0"/>
        <v>7497.9700000000012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55CA-8E22-48FE-A4BD-47246D637958}">
  <dimension ref="A1:L60"/>
  <sheetViews>
    <sheetView topLeftCell="A45" workbookViewId="0">
      <selection activeCell="L1" sqref="L1:L1048576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2">
        <f t="shared" si="0"/>
        <v>0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65.38</v>
      </c>
      <c r="C36" s="6">
        <v>8.39</v>
      </c>
      <c r="D36" s="6">
        <v>1610.14</v>
      </c>
      <c r="E36" s="6">
        <v>34.35</v>
      </c>
      <c r="F36" s="6">
        <v>35.549999999999997</v>
      </c>
      <c r="G36" s="6">
        <v>2</v>
      </c>
      <c r="H36" s="6">
        <v>33.299999999999997</v>
      </c>
      <c r="I36" s="6">
        <v>0.9</v>
      </c>
      <c r="J36" s="6">
        <v>7.6</v>
      </c>
      <c r="K36" s="6">
        <v>7003.19</v>
      </c>
      <c r="L36" s="2">
        <f t="shared" si="0"/>
        <v>8800.7999999999993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933.31</v>
      </c>
      <c r="C41" s="6">
        <v>22.38</v>
      </c>
      <c r="D41" s="6">
        <v>9972.85</v>
      </c>
      <c r="E41" s="6">
        <v>217.5</v>
      </c>
      <c r="F41" s="6">
        <v>5.57</v>
      </c>
      <c r="G41" s="6">
        <v>4.5</v>
      </c>
      <c r="H41" s="6">
        <v>390.3</v>
      </c>
      <c r="I41" s="6">
        <v>4.9000000000000004</v>
      </c>
      <c r="J41" s="6">
        <v>5.2</v>
      </c>
      <c r="K41" s="6">
        <v>9888.42</v>
      </c>
      <c r="L41" s="2">
        <f t="shared" si="0"/>
        <v>21444.93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417.2</v>
      </c>
      <c r="C53" s="6">
        <v>8.7100000000000009</v>
      </c>
      <c r="D53" s="6">
        <v>2547.06</v>
      </c>
      <c r="E53" s="6">
        <v>30.29</v>
      </c>
      <c r="F53" s="6">
        <v>8.57</v>
      </c>
      <c r="G53" s="6">
        <v>5.0999999999999996</v>
      </c>
      <c r="H53" s="6">
        <v>42.6</v>
      </c>
      <c r="I53" s="6">
        <v>0.1</v>
      </c>
      <c r="J53" s="6">
        <v>2</v>
      </c>
      <c r="K53" s="6">
        <v>7247.97</v>
      </c>
      <c r="L53" s="2">
        <f t="shared" si="0"/>
        <v>10309.6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1415.9</v>
      </c>
      <c r="C60" s="7">
        <v>39.47</v>
      </c>
      <c r="D60" s="7">
        <v>14130.05</v>
      </c>
      <c r="E60" s="7">
        <v>282.14</v>
      </c>
      <c r="F60" s="7">
        <v>49.69</v>
      </c>
      <c r="G60" s="7">
        <v>11.6</v>
      </c>
      <c r="H60" s="7">
        <v>466.2</v>
      </c>
      <c r="I60" s="7">
        <v>5.9</v>
      </c>
      <c r="J60" s="7">
        <v>14.8</v>
      </c>
      <c r="K60" s="7">
        <v>24139.58</v>
      </c>
      <c r="L60" s="2">
        <f t="shared" si="0"/>
        <v>40555.33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60A1-069A-4D3E-8178-02469B283C12}">
  <dimension ref="A1:L60"/>
  <sheetViews>
    <sheetView topLeftCell="A13" workbookViewId="0">
      <selection activeCell="L40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31.53</v>
      </c>
      <c r="C22" s="6">
        <v>0.7</v>
      </c>
      <c r="D22" s="6">
        <v>371.69</v>
      </c>
      <c r="E22" s="6">
        <v>0.31</v>
      </c>
      <c r="F22" s="6">
        <v>0</v>
      </c>
      <c r="G22" s="6">
        <v>1</v>
      </c>
      <c r="H22" s="6">
        <v>3</v>
      </c>
      <c r="I22" s="6">
        <v>0</v>
      </c>
      <c r="J22" s="6">
        <v>5.3</v>
      </c>
      <c r="K22" s="6">
        <v>808.85</v>
      </c>
      <c r="L22" s="2">
        <f t="shared" si="0"/>
        <v>1222.3800000000001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85.04</v>
      </c>
      <c r="C36" s="6">
        <v>19.600000000000001</v>
      </c>
      <c r="D36" s="6">
        <v>2431.65</v>
      </c>
      <c r="E36" s="6">
        <v>45.62</v>
      </c>
      <c r="F36" s="6">
        <v>14.51</v>
      </c>
      <c r="G36" s="6">
        <v>2.8</v>
      </c>
      <c r="H36" s="6">
        <v>54.2</v>
      </c>
      <c r="I36" s="6">
        <v>1.6</v>
      </c>
      <c r="J36" s="6">
        <v>10.9</v>
      </c>
      <c r="K36" s="6">
        <v>10879.99</v>
      </c>
      <c r="L36" s="2">
        <f t="shared" si="0"/>
        <v>13545.91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980.42</v>
      </c>
      <c r="C41" s="6">
        <v>32.83</v>
      </c>
      <c r="D41" s="6">
        <v>9098.9</v>
      </c>
      <c r="E41" s="6">
        <v>195.85</v>
      </c>
      <c r="F41" s="6">
        <v>41</v>
      </c>
      <c r="G41" s="6">
        <v>1.5</v>
      </c>
      <c r="H41" s="6">
        <v>427.8</v>
      </c>
      <c r="I41" s="6">
        <v>8.8000000000000007</v>
      </c>
      <c r="J41" s="6">
        <v>5.8</v>
      </c>
      <c r="K41" s="6">
        <v>10401.51</v>
      </c>
      <c r="L41" s="2">
        <f t="shared" si="0"/>
        <v>21194.409999999996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1764.15</v>
      </c>
      <c r="C53" s="6">
        <v>47.16</v>
      </c>
      <c r="D53" s="6">
        <v>12729.71</v>
      </c>
      <c r="E53" s="6">
        <v>250.14</v>
      </c>
      <c r="F53" s="6">
        <v>74.28</v>
      </c>
      <c r="G53" s="6">
        <v>17.899999999999999</v>
      </c>
      <c r="H53" s="6">
        <v>256.89999999999998</v>
      </c>
      <c r="I53" s="6">
        <v>4</v>
      </c>
      <c r="J53" s="6">
        <v>27.5</v>
      </c>
      <c r="K53" s="6">
        <v>34767.379999999997</v>
      </c>
      <c r="L53" s="2">
        <f t="shared" si="0"/>
        <v>49939.119999999995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2861.14</v>
      </c>
      <c r="C60" s="7">
        <v>100.3</v>
      </c>
      <c r="D60" s="7">
        <v>24631.94</v>
      </c>
      <c r="E60" s="7">
        <v>491.92</v>
      </c>
      <c r="F60" s="7">
        <v>129.79</v>
      </c>
      <c r="G60" s="7">
        <v>23.2</v>
      </c>
      <c r="H60" s="7">
        <v>741.9</v>
      </c>
      <c r="I60" s="7">
        <v>14.4</v>
      </c>
      <c r="J60" s="7">
        <v>49.5</v>
      </c>
      <c r="K60" s="7">
        <v>56857.73</v>
      </c>
      <c r="L60" s="2">
        <f t="shared" si="0"/>
        <v>85901.82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A793-92EF-4C1E-AC5C-096295189536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221.9</v>
      </c>
      <c r="C22" s="6">
        <v>3.97</v>
      </c>
      <c r="D22" s="6">
        <v>1374.54</v>
      </c>
      <c r="E22" s="6">
        <v>6.1</v>
      </c>
      <c r="F22" s="6">
        <v>0.14000000000000001</v>
      </c>
      <c r="G22" s="6">
        <v>8.4</v>
      </c>
      <c r="H22" s="6">
        <v>57.3</v>
      </c>
      <c r="I22" s="6">
        <v>0.5</v>
      </c>
      <c r="J22" s="6">
        <v>2.2999999999999998</v>
      </c>
      <c r="K22" s="6">
        <v>3587.75</v>
      </c>
      <c r="L22" s="2">
        <f t="shared" si="0"/>
        <v>5262.9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164.02</v>
      </c>
      <c r="C36" s="6">
        <v>11.72</v>
      </c>
      <c r="D36" s="6">
        <v>2676.95</v>
      </c>
      <c r="E36" s="6">
        <v>67.67</v>
      </c>
      <c r="F36" s="6">
        <v>24.58</v>
      </c>
      <c r="G36" s="6">
        <v>13.7</v>
      </c>
      <c r="H36" s="6">
        <v>68.5</v>
      </c>
      <c r="I36" s="6">
        <v>0.9</v>
      </c>
      <c r="J36" s="6">
        <v>8.1999999999999993</v>
      </c>
      <c r="K36" s="6">
        <v>13903.88</v>
      </c>
      <c r="L36" s="2">
        <f t="shared" si="0"/>
        <v>16940.12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1391.78</v>
      </c>
      <c r="C41" s="6">
        <v>32.950000000000003</v>
      </c>
      <c r="D41" s="6">
        <v>9824.9</v>
      </c>
      <c r="E41" s="6">
        <v>228.47</v>
      </c>
      <c r="F41" s="6">
        <v>26.57</v>
      </c>
      <c r="G41" s="6">
        <v>5.3</v>
      </c>
      <c r="H41" s="6">
        <v>375.8</v>
      </c>
      <c r="I41" s="6">
        <v>10.3</v>
      </c>
      <c r="J41" s="6">
        <v>13.9</v>
      </c>
      <c r="K41" s="6">
        <v>13759.56</v>
      </c>
      <c r="L41" s="2">
        <f t="shared" si="0"/>
        <v>25669.529999999995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2701.31</v>
      </c>
      <c r="C53" s="6">
        <v>51.98</v>
      </c>
      <c r="D53" s="6">
        <v>15540.44</v>
      </c>
      <c r="E53" s="6">
        <v>277.60000000000002</v>
      </c>
      <c r="F53" s="6">
        <v>35</v>
      </c>
      <c r="G53" s="6">
        <v>24</v>
      </c>
      <c r="H53" s="6">
        <v>251.6</v>
      </c>
      <c r="I53" s="6">
        <v>7.5</v>
      </c>
      <c r="J53" s="6">
        <v>29.3</v>
      </c>
      <c r="K53" s="6">
        <v>50104.42</v>
      </c>
      <c r="L53" s="2">
        <f t="shared" si="0"/>
        <v>69023.149999999994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4479.01</v>
      </c>
      <c r="C60" s="7">
        <v>100.63</v>
      </c>
      <c r="D60" s="7">
        <v>29416.83</v>
      </c>
      <c r="E60" s="7">
        <v>579.83000000000004</v>
      </c>
      <c r="F60" s="7">
        <v>86.29</v>
      </c>
      <c r="G60" s="7">
        <v>51.4</v>
      </c>
      <c r="H60" s="7">
        <v>753.2</v>
      </c>
      <c r="I60" s="7">
        <v>19.2</v>
      </c>
      <c r="J60" s="7">
        <v>53.7</v>
      </c>
      <c r="K60" s="7">
        <v>81355.61</v>
      </c>
      <c r="L60" s="2">
        <f t="shared" si="0"/>
        <v>116895.7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F830-C59A-4294-B10B-8B038B5CA592}">
  <dimension ref="A1:L60"/>
  <sheetViews>
    <sheetView workbookViewId="0">
      <selection activeCell="L1" sqref="L1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887.82</v>
      </c>
      <c r="C13" s="6">
        <v>7.97</v>
      </c>
      <c r="D13" s="6">
        <v>4939.1899999999996</v>
      </c>
      <c r="E13" s="6">
        <v>161.22</v>
      </c>
      <c r="F13" s="6">
        <v>19.579999999999998</v>
      </c>
      <c r="G13" s="6">
        <v>2.9</v>
      </c>
      <c r="H13" s="6">
        <v>82.6</v>
      </c>
      <c r="I13" s="6">
        <v>3.1</v>
      </c>
      <c r="J13" s="6">
        <v>6.9</v>
      </c>
      <c r="K13" s="6">
        <v>8155.97</v>
      </c>
      <c r="L13" s="2">
        <f t="shared" si="0"/>
        <v>14267.25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318.55</v>
      </c>
      <c r="C22" s="6">
        <v>9.36</v>
      </c>
      <c r="D22" s="6">
        <v>1427.7</v>
      </c>
      <c r="E22" s="6">
        <v>2.73</v>
      </c>
      <c r="F22" s="6">
        <v>0.86</v>
      </c>
      <c r="G22" s="6">
        <v>2</v>
      </c>
      <c r="H22" s="6">
        <v>78.8</v>
      </c>
      <c r="I22" s="6">
        <v>0.2</v>
      </c>
      <c r="J22" s="6">
        <v>0.3</v>
      </c>
      <c r="K22" s="6">
        <v>3912.15</v>
      </c>
      <c r="L22" s="2">
        <f t="shared" si="0"/>
        <v>5752.65</v>
      </c>
    </row>
    <row r="23" spans="1:12" x14ac:dyDescent="0.35">
      <c r="A23" s="5" t="s">
        <v>32</v>
      </c>
      <c r="B23" s="6">
        <v>609.58000000000004</v>
      </c>
      <c r="C23" s="6">
        <v>8.02</v>
      </c>
      <c r="D23" s="6">
        <v>4323.72</v>
      </c>
      <c r="E23" s="6">
        <v>103.07</v>
      </c>
      <c r="F23" s="6">
        <v>4.84</v>
      </c>
      <c r="G23" s="6">
        <v>4.5999999999999996</v>
      </c>
      <c r="H23" s="6">
        <v>157</v>
      </c>
      <c r="I23" s="6">
        <v>11.8</v>
      </c>
      <c r="J23" s="6">
        <v>2.2999999999999998</v>
      </c>
      <c r="K23" s="6">
        <v>3444.89</v>
      </c>
      <c r="L23" s="2">
        <f t="shared" si="0"/>
        <v>8669.8200000000015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174.97</v>
      </c>
      <c r="C36" s="6">
        <v>10.34</v>
      </c>
      <c r="D36" s="6">
        <v>3241.74</v>
      </c>
      <c r="E36" s="6">
        <v>74.13</v>
      </c>
      <c r="F36" s="6">
        <v>26.23</v>
      </c>
      <c r="G36" s="6">
        <v>2.8</v>
      </c>
      <c r="H36" s="6">
        <v>47.7</v>
      </c>
      <c r="I36" s="6">
        <v>2.6</v>
      </c>
      <c r="J36" s="6">
        <v>9.6</v>
      </c>
      <c r="K36" s="6">
        <v>13633.11</v>
      </c>
      <c r="L36" s="2">
        <f t="shared" si="0"/>
        <v>17223.22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1378.68</v>
      </c>
      <c r="C41" s="6">
        <v>32.58</v>
      </c>
      <c r="D41" s="6">
        <v>8720.85</v>
      </c>
      <c r="E41" s="6">
        <v>249.39</v>
      </c>
      <c r="F41" s="6">
        <v>11.44</v>
      </c>
      <c r="G41" s="6">
        <v>4.7</v>
      </c>
      <c r="H41" s="6">
        <v>447.3</v>
      </c>
      <c r="I41" s="6">
        <v>7.9</v>
      </c>
      <c r="J41" s="6">
        <v>3.5</v>
      </c>
      <c r="K41" s="6">
        <v>13035.46</v>
      </c>
      <c r="L41" s="2">
        <f t="shared" si="0"/>
        <v>23891.8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727.96</v>
      </c>
      <c r="C43" s="6">
        <v>40.21</v>
      </c>
      <c r="D43" s="6">
        <v>4358.1000000000004</v>
      </c>
      <c r="E43" s="6">
        <v>30.96</v>
      </c>
      <c r="F43" s="6">
        <v>0.76</v>
      </c>
      <c r="G43" s="6">
        <v>7.5</v>
      </c>
      <c r="H43" s="6">
        <v>69.2</v>
      </c>
      <c r="I43" s="6">
        <v>1.1000000000000001</v>
      </c>
      <c r="J43" s="6">
        <v>2.1</v>
      </c>
      <c r="K43" s="6">
        <v>6997.19</v>
      </c>
      <c r="L43" s="2">
        <f t="shared" si="0"/>
        <v>12235.080000000002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588.95000000000005</v>
      </c>
      <c r="C52" s="6">
        <v>6.7</v>
      </c>
      <c r="D52" s="6">
        <v>4852.1099999999997</v>
      </c>
      <c r="E52" s="6">
        <v>178.94</v>
      </c>
      <c r="F52" s="6">
        <v>2.44</v>
      </c>
      <c r="G52" s="6">
        <v>4.2</v>
      </c>
      <c r="H52" s="6">
        <v>181.6</v>
      </c>
      <c r="I52" s="6">
        <v>1.7</v>
      </c>
      <c r="J52" s="6">
        <v>5.9</v>
      </c>
      <c r="K52" s="6">
        <v>3557.71</v>
      </c>
      <c r="L52" s="2">
        <f t="shared" si="0"/>
        <v>9380.25</v>
      </c>
    </row>
    <row r="53" spans="1:12" x14ac:dyDescent="0.35">
      <c r="A53" s="5" t="s">
        <v>62</v>
      </c>
      <c r="B53" s="6">
        <v>2456.69</v>
      </c>
      <c r="C53" s="6">
        <v>63.11</v>
      </c>
      <c r="D53" s="6">
        <v>15786.25</v>
      </c>
      <c r="E53" s="6">
        <v>276.99</v>
      </c>
      <c r="F53" s="6">
        <v>33.22</v>
      </c>
      <c r="G53" s="6">
        <v>18.3</v>
      </c>
      <c r="H53" s="6">
        <v>287.5</v>
      </c>
      <c r="I53" s="6">
        <v>8.6</v>
      </c>
      <c r="J53" s="6">
        <v>10.4</v>
      </c>
      <c r="K53" s="6">
        <v>50122.89</v>
      </c>
      <c r="L53" s="2">
        <f t="shared" si="0"/>
        <v>69063.95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7143.2</v>
      </c>
      <c r="C60" s="7">
        <v>178.3</v>
      </c>
      <c r="D60" s="7">
        <v>47649.67</v>
      </c>
      <c r="E60" s="7">
        <v>1077.43</v>
      </c>
      <c r="F60" s="7">
        <v>99.38</v>
      </c>
      <c r="G60" s="7">
        <v>47</v>
      </c>
      <c r="H60" s="7">
        <v>1351.7</v>
      </c>
      <c r="I60" s="7">
        <v>37</v>
      </c>
      <c r="J60" s="7">
        <v>41</v>
      </c>
      <c r="K60" s="7">
        <v>102859.37</v>
      </c>
      <c r="L60" s="2">
        <f t="shared" si="0"/>
        <v>160484.04999999999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A861-0EC8-4856-A17A-8276EBD55340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10024.56</v>
      </c>
      <c r="C13" s="6">
        <v>12.03</v>
      </c>
      <c r="D13" s="6">
        <v>342.92</v>
      </c>
      <c r="E13" s="6">
        <v>283.45999999999998</v>
      </c>
      <c r="F13" s="6">
        <v>26.88</v>
      </c>
      <c r="G13" s="6">
        <v>4.9000000000000004</v>
      </c>
      <c r="H13" s="6">
        <v>129.9</v>
      </c>
      <c r="I13" s="6">
        <v>3.2</v>
      </c>
      <c r="J13" s="6">
        <v>3.5</v>
      </c>
      <c r="K13" s="6">
        <v>11844.46</v>
      </c>
      <c r="L13" s="2">
        <f t="shared" si="0"/>
        <v>22675.809999999998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1729.57</v>
      </c>
      <c r="C22" s="6">
        <v>5.87</v>
      </c>
      <c r="D22" s="6">
        <v>55.91</v>
      </c>
      <c r="E22" s="6">
        <v>4.21</v>
      </c>
      <c r="F22" s="6">
        <v>0.11</v>
      </c>
      <c r="G22" s="6">
        <v>0.9</v>
      </c>
      <c r="H22" s="6">
        <v>27.8</v>
      </c>
      <c r="I22" s="6">
        <v>0.2</v>
      </c>
      <c r="J22" s="6">
        <v>0.1</v>
      </c>
      <c r="K22" s="6">
        <v>3604.57</v>
      </c>
      <c r="L22" s="2">
        <f t="shared" si="0"/>
        <v>5429.24</v>
      </c>
    </row>
    <row r="23" spans="1:12" x14ac:dyDescent="0.35">
      <c r="A23" s="5" t="s">
        <v>32</v>
      </c>
      <c r="B23" s="6">
        <v>8060.65</v>
      </c>
      <c r="C23" s="6">
        <v>21.73</v>
      </c>
      <c r="D23" s="6">
        <v>265.54000000000002</v>
      </c>
      <c r="E23" s="6">
        <v>160.07</v>
      </c>
      <c r="F23" s="6">
        <v>58.96</v>
      </c>
      <c r="G23" s="6">
        <v>10.1</v>
      </c>
      <c r="H23" s="6">
        <v>127.9</v>
      </c>
      <c r="I23" s="6">
        <v>43.4</v>
      </c>
      <c r="J23" s="6">
        <v>8.5</v>
      </c>
      <c r="K23" s="6">
        <v>4538.92</v>
      </c>
      <c r="L23" s="2">
        <f t="shared" si="0"/>
        <v>13295.769999999999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2985.78</v>
      </c>
      <c r="C36" s="6">
        <v>13.59</v>
      </c>
      <c r="D36" s="6">
        <v>241.52</v>
      </c>
      <c r="E36" s="6">
        <v>64.790000000000006</v>
      </c>
      <c r="F36" s="6">
        <v>4.9400000000000004</v>
      </c>
      <c r="G36" s="6">
        <v>1.1000000000000001</v>
      </c>
      <c r="H36" s="6">
        <v>70.099999999999994</v>
      </c>
      <c r="I36" s="6">
        <v>1.9</v>
      </c>
      <c r="J36" s="6">
        <v>4.3</v>
      </c>
      <c r="K36" s="6">
        <v>13431.73</v>
      </c>
      <c r="L36" s="2">
        <f t="shared" si="0"/>
        <v>16819.75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9331.9500000000007</v>
      </c>
      <c r="C41" s="6">
        <v>29.15</v>
      </c>
      <c r="D41" s="6">
        <v>340.14</v>
      </c>
      <c r="E41" s="6">
        <v>217.75</v>
      </c>
      <c r="F41" s="6">
        <v>41.11</v>
      </c>
      <c r="G41" s="6">
        <v>3.4</v>
      </c>
      <c r="H41" s="6">
        <v>400.8</v>
      </c>
      <c r="I41" s="6">
        <v>8.5</v>
      </c>
      <c r="J41" s="6">
        <v>10.9</v>
      </c>
      <c r="K41" s="6">
        <v>12107.39</v>
      </c>
      <c r="L41" s="2">
        <f t="shared" si="0"/>
        <v>22491.089999999997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5340.3</v>
      </c>
      <c r="C43" s="6">
        <v>31.12</v>
      </c>
      <c r="D43" s="6">
        <v>354.77</v>
      </c>
      <c r="E43" s="6">
        <v>19.36</v>
      </c>
      <c r="F43" s="6">
        <v>0.36</v>
      </c>
      <c r="G43" s="6">
        <v>0.4</v>
      </c>
      <c r="H43" s="6">
        <v>192.5</v>
      </c>
      <c r="I43" s="6">
        <v>4.2</v>
      </c>
      <c r="J43" s="6">
        <v>2.8</v>
      </c>
      <c r="K43" s="6">
        <v>8162.05</v>
      </c>
      <c r="L43" s="2">
        <f t="shared" si="0"/>
        <v>14107.86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9904.9500000000007</v>
      </c>
      <c r="C52" s="6">
        <v>21.72</v>
      </c>
      <c r="D52" s="6">
        <v>315.01</v>
      </c>
      <c r="E52" s="6">
        <v>426.49</v>
      </c>
      <c r="F52" s="6">
        <v>8.49</v>
      </c>
      <c r="G52" s="6">
        <v>10.9</v>
      </c>
      <c r="H52" s="6">
        <v>235.7</v>
      </c>
      <c r="I52" s="6">
        <v>10</v>
      </c>
      <c r="J52" s="6">
        <v>8.3000000000000007</v>
      </c>
      <c r="K52" s="6">
        <v>5680.34</v>
      </c>
      <c r="L52" s="2">
        <f t="shared" si="0"/>
        <v>16621.900000000001</v>
      </c>
    </row>
    <row r="53" spans="1:12" x14ac:dyDescent="0.35">
      <c r="A53" s="5" t="s">
        <v>62</v>
      </c>
      <c r="B53" s="6">
        <v>17116.080000000002</v>
      </c>
      <c r="C53" s="6">
        <v>47.28</v>
      </c>
      <c r="D53" s="6">
        <v>530.69000000000005</v>
      </c>
      <c r="E53" s="6">
        <v>375.39</v>
      </c>
      <c r="F53" s="6">
        <v>26.03</v>
      </c>
      <c r="G53" s="6">
        <v>15.4</v>
      </c>
      <c r="H53" s="6">
        <v>235.6</v>
      </c>
      <c r="I53" s="6">
        <v>7.6</v>
      </c>
      <c r="J53" s="6">
        <v>10.9</v>
      </c>
      <c r="K53" s="6">
        <v>43678.45</v>
      </c>
      <c r="L53" s="2">
        <f t="shared" si="0"/>
        <v>62043.42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64493.83</v>
      </c>
      <c r="C60" s="7">
        <v>182.48</v>
      </c>
      <c r="D60" s="7">
        <v>2446.5100000000002</v>
      </c>
      <c r="E60" s="7">
        <v>1551.52</v>
      </c>
      <c r="F60" s="7">
        <v>166.89</v>
      </c>
      <c r="G60" s="7">
        <v>47.1</v>
      </c>
      <c r="H60" s="7">
        <v>1420.3</v>
      </c>
      <c r="I60" s="7">
        <v>79</v>
      </c>
      <c r="J60" s="7">
        <v>49.3</v>
      </c>
      <c r="K60" s="7">
        <v>103047.9</v>
      </c>
      <c r="L60" s="2">
        <f t="shared" si="0"/>
        <v>173484.83000000002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4758-F4E8-48A2-88DD-08A0DC010C2C}">
  <dimension ref="A1:L60"/>
  <sheetViews>
    <sheetView workbookViewId="0">
      <selection activeCell="L1" sqref="L1:L1048576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152.36000000000001</v>
      </c>
      <c r="C3" s="6">
        <v>0.73</v>
      </c>
      <c r="D3" s="6">
        <v>0.3</v>
      </c>
      <c r="E3" s="6">
        <v>0</v>
      </c>
      <c r="F3" s="6">
        <v>0.02</v>
      </c>
      <c r="G3" s="6">
        <v>0</v>
      </c>
      <c r="H3" s="6">
        <v>26.1</v>
      </c>
      <c r="I3" s="6">
        <v>0</v>
      </c>
      <c r="J3" s="6">
        <v>0.1</v>
      </c>
      <c r="K3" s="6">
        <v>202.86</v>
      </c>
      <c r="L3" s="2">
        <f t="shared" ref="L3:L60" si="0">SUM(B3:K3)</f>
        <v>382.47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7280.62</v>
      </c>
      <c r="C9" s="6">
        <v>19.32</v>
      </c>
      <c r="D9" s="6">
        <v>154.04</v>
      </c>
      <c r="E9" s="6">
        <v>99.41</v>
      </c>
      <c r="F9" s="6">
        <v>2.1</v>
      </c>
      <c r="G9" s="6">
        <v>8.3000000000000007</v>
      </c>
      <c r="H9" s="6">
        <v>69.8</v>
      </c>
      <c r="I9" s="6">
        <v>3.5</v>
      </c>
      <c r="J9" s="6">
        <v>1.6</v>
      </c>
      <c r="K9" s="6">
        <v>5506.61</v>
      </c>
      <c r="L9" s="2">
        <f t="shared" si="0"/>
        <v>13145.3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7738.77</v>
      </c>
      <c r="C12" s="6">
        <v>24.2</v>
      </c>
      <c r="D12" s="6">
        <v>288.45999999999998</v>
      </c>
      <c r="E12" s="6">
        <v>178.87</v>
      </c>
      <c r="F12" s="6">
        <v>1.1499999999999999</v>
      </c>
      <c r="G12" s="6">
        <v>3.1</v>
      </c>
      <c r="H12" s="6">
        <v>68.7</v>
      </c>
      <c r="I12" s="6">
        <v>31.8</v>
      </c>
      <c r="J12" s="6">
        <v>5.6</v>
      </c>
      <c r="K12" s="6">
        <v>11095.1</v>
      </c>
      <c r="L12" s="2">
        <f t="shared" si="0"/>
        <v>19435.75</v>
      </c>
    </row>
    <row r="13" spans="1:12" x14ac:dyDescent="0.35">
      <c r="A13" s="5" t="s">
        <v>22</v>
      </c>
      <c r="B13" s="6">
        <v>9550.86</v>
      </c>
      <c r="C13" s="6">
        <v>17.54</v>
      </c>
      <c r="D13" s="6">
        <v>220.12</v>
      </c>
      <c r="E13" s="6">
        <v>194.07</v>
      </c>
      <c r="F13" s="6">
        <v>4.4800000000000004</v>
      </c>
      <c r="G13" s="6">
        <v>1.9</v>
      </c>
      <c r="H13" s="6">
        <v>324.2</v>
      </c>
      <c r="I13" s="6">
        <v>8.9</v>
      </c>
      <c r="J13" s="6">
        <v>1.5</v>
      </c>
      <c r="K13" s="6">
        <v>11910.36</v>
      </c>
      <c r="L13" s="2">
        <f t="shared" si="0"/>
        <v>22233.93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2031.1</v>
      </c>
      <c r="C22" s="6">
        <v>2.63</v>
      </c>
      <c r="D22" s="6">
        <v>38.08</v>
      </c>
      <c r="E22" s="6">
        <v>35.56</v>
      </c>
      <c r="F22" s="6">
        <v>0</v>
      </c>
      <c r="G22" s="6">
        <v>14.4</v>
      </c>
      <c r="H22" s="6">
        <v>33.9</v>
      </c>
      <c r="I22" s="6">
        <v>1.5</v>
      </c>
      <c r="J22" s="6">
        <v>1</v>
      </c>
      <c r="K22" s="6">
        <v>3846.43</v>
      </c>
      <c r="L22" s="2">
        <f t="shared" si="0"/>
        <v>6004.6</v>
      </c>
    </row>
    <row r="23" spans="1:12" x14ac:dyDescent="0.35">
      <c r="A23" s="5" t="s">
        <v>32</v>
      </c>
      <c r="B23" s="6">
        <v>7742.39</v>
      </c>
      <c r="C23" s="6">
        <v>11.15</v>
      </c>
      <c r="D23" s="6">
        <v>198.94</v>
      </c>
      <c r="E23" s="6">
        <v>108.15</v>
      </c>
      <c r="F23" s="6">
        <v>4.03</v>
      </c>
      <c r="G23" s="6">
        <v>17.399999999999999</v>
      </c>
      <c r="H23" s="6">
        <v>216.7</v>
      </c>
      <c r="I23" s="6">
        <v>63.8</v>
      </c>
      <c r="J23" s="6">
        <v>3.2</v>
      </c>
      <c r="K23" s="6">
        <v>4041.31</v>
      </c>
      <c r="L23" s="2">
        <f t="shared" si="0"/>
        <v>12407.069999999998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1752.62</v>
      </c>
      <c r="C34" s="6">
        <v>10.86</v>
      </c>
      <c r="D34" s="6">
        <v>146.19</v>
      </c>
      <c r="E34" s="6">
        <v>10.52</v>
      </c>
      <c r="F34" s="6">
        <v>3.13</v>
      </c>
      <c r="G34" s="6">
        <v>0.2</v>
      </c>
      <c r="H34" s="6">
        <v>29.1</v>
      </c>
      <c r="I34" s="6">
        <v>0.4</v>
      </c>
      <c r="J34" s="6">
        <v>1.8</v>
      </c>
      <c r="K34" s="6">
        <v>941.9</v>
      </c>
      <c r="L34" s="2">
        <f t="shared" si="0"/>
        <v>2896.72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3071.86</v>
      </c>
      <c r="C36" s="6">
        <v>14.06</v>
      </c>
      <c r="D36" s="6">
        <v>277.66000000000003</v>
      </c>
      <c r="E36" s="6">
        <v>66.489999999999995</v>
      </c>
      <c r="F36" s="6">
        <v>2.92</v>
      </c>
      <c r="G36" s="6">
        <v>0.8</v>
      </c>
      <c r="H36" s="6">
        <v>105.8</v>
      </c>
      <c r="I36" s="6">
        <v>2</v>
      </c>
      <c r="J36" s="6">
        <v>1.6</v>
      </c>
      <c r="K36" s="6">
        <v>14596.98</v>
      </c>
      <c r="L36" s="2">
        <f t="shared" si="0"/>
        <v>18140.169999999998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10205.219999999999</v>
      </c>
      <c r="C41" s="6">
        <v>16.2</v>
      </c>
      <c r="D41" s="6">
        <v>274.56</v>
      </c>
      <c r="E41" s="6">
        <v>229.98</v>
      </c>
      <c r="F41" s="6">
        <v>10.62</v>
      </c>
      <c r="G41" s="6">
        <v>7.9</v>
      </c>
      <c r="H41" s="6">
        <v>474.2</v>
      </c>
      <c r="I41" s="6">
        <v>8.9</v>
      </c>
      <c r="J41" s="6">
        <v>7.6</v>
      </c>
      <c r="K41" s="6">
        <v>17883.21</v>
      </c>
      <c r="L41" s="2">
        <f t="shared" si="0"/>
        <v>29118.39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4413.33</v>
      </c>
      <c r="C43" s="6">
        <v>40.78</v>
      </c>
      <c r="D43" s="6">
        <v>256.2</v>
      </c>
      <c r="E43" s="6">
        <v>54.24</v>
      </c>
      <c r="F43" s="6">
        <v>1.93</v>
      </c>
      <c r="G43" s="6">
        <v>0.6</v>
      </c>
      <c r="H43" s="6">
        <v>48.6</v>
      </c>
      <c r="I43" s="6">
        <v>0.3</v>
      </c>
      <c r="J43" s="6">
        <v>9.6</v>
      </c>
      <c r="K43" s="6">
        <v>7436.1</v>
      </c>
      <c r="L43" s="2">
        <f t="shared" si="0"/>
        <v>12261.68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502.55</v>
      </c>
      <c r="C45" s="6">
        <v>2.58</v>
      </c>
      <c r="D45" s="6">
        <v>8.1199999999999992</v>
      </c>
      <c r="E45" s="6">
        <v>5.98</v>
      </c>
      <c r="F45" s="6">
        <v>0</v>
      </c>
      <c r="G45" s="6">
        <v>0</v>
      </c>
      <c r="H45" s="6">
        <v>2.7</v>
      </c>
      <c r="I45" s="6">
        <v>0</v>
      </c>
      <c r="J45" s="6">
        <v>0</v>
      </c>
      <c r="K45" s="6">
        <v>77.39</v>
      </c>
      <c r="L45" s="2">
        <f t="shared" si="0"/>
        <v>599.32000000000005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146.62</v>
      </c>
      <c r="C49" s="6">
        <v>0</v>
      </c>
      <c r="D49" s="6">
        <v>3</v>
      </c>
      <c r="E49" s="6">
        <v>2.29</v>
      </c>
      <c r="F49" s="6">
        <v>0</v>
      </c>
      <c r="G49" s="6">
        <v>0</v>
      </c>
      <c r="H49" s="6">
        <v>2.5</v>
      </c>
      <c r="I49" s="6">
        <v>0.6</v>
      </c>
      <c r="J49" s="6">
        <v>0</v>
      </c>
      <c r="K49" s="6">
        <v>24.71</v>
      </c>
      <c r="L49" s="2">
        <f t="shared" si="0"/>
        <v>179.72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8921.8700000000008</v>
      </c>
      <c r="C52" s="6">
        <v>19.649999999999999</v>
      </c>
      <c r="D52" s="6">
        <v>321.66000000000003</v>
      </c>
      <c r="E52" s="6">
        <v>226.6</v>
      </c>
      <c r="F52" s="6">
        <v>4.76</v>
      </c>
      <c r="G52" s="6">
        <v>7.2</v>
      </c>
      <c r="H52" s="6">
        <v>300.3</v>
      </c>
      <c r="I52" s="6">
        <v>8.6</v>
      </c>
      <c r="J52" s="6">
        <v>0.8</v>
      </c>
      <c r="K52" s="6">
        <v>5384</v>
      </c>
      <c r="L52" s="2">
        <f t="shared" si="0"/>
        <v>15195.44</v>
      </c>
    </row>
    <row r="53" spans="1:12" x14ac:dyDescent="0.35">
      <c r="A53" s="5" t="s">
        <v>62</v>
      </c>
      <c r="B53" s="6">
        <v>16813.07</v>
      </c>
      <c r="C53" s="6">
        <v>45.38</v>
      </c>
      <c r="D53" s="6">
        <v>598.28</v>
      </c>
      <c r="E53" s="6">
        <v>262.95</v>
      </c>
      <c r="F53" s="6">
        <v>6.18</v>
      </c>
      <c r="G53" s="6">
        <v>19</v>
      </c>
      <c r="H53" s="6">
        <v>263.39999999999998</v>
      </c>
      <c r="I53" s="6">
        <v>14.4</v>
      </c>
      <c r="J53" s="6">
        <v>5.8</v>
      </c>
      <c r="K53" s="6">
        <v>47880.57</v>
      </c>
      <c r="L53" s="2">
        <f t="shared" si="0"/>
        <v>65909.03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80323.240000000005</v>
      </c>
      <c r="C60" s="7">
        <v>225.1</v>
      </c>
      <c r="D60" s="7">
        <v>2785.61</v>
      </c>
      <c r="E60" s="7">
        <v>1475.1</v>
      </c>
      <c r="F60" s="7">
        <v>41.31</v>
      </c>
      <c r="G60" s="7">
        <v>80.8</v>
      </c>
      <c r="H60" s="7">
        <v>1966</v>
      </c>
      <c r="I60" s="7">
        <v>144.69999999999999</v>
      </c>
      <c r="J60" s="7">
        <v>40.200000000000003</v>
      </c>
      <c r="K60" s="7">
        <v>130827.52</v>
      </c>
      <c r="L60" s="2">
        <f t="shared" si="0"/>
        <v>217909.58000000002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A75E-B6D0-4CA9-8B86-E6A39F1FE472}">
  <dimension ref="A1:L60"/>
  <sheetViews>
    <sheetView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1721.75</v>
      </c>
      <c r="C3" s="6">
        <v>8.32</v>
      </c>
      <c r="D3" s="6">
        <v>105.14</v>
      </c>
      <c r="E3" s="6">
        <v>8.3699999999999992</v>
      </c>
      <c r="F3" s="6">
        <v>9.56</v>
      </c>
      <c r="G3" s="6">
        <v>0.2</v>
      </c>
      <c r="H3" s="6">
        <v>96.7</v>
      </c>
      <c r="I3" s="6">
        <v>14.7</v>
      </c>
      <c r="J3" s="6">
        <v>0.4</v>
      </c>
      <c r="K3" s="6">
        <v>2046.22</v>
      </c>
      <c r="L3" s="2">
        <f t="shared" ref="L3:L60" si="0">SUM(B3:K3)</f>
        <v>4011.36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8494.7199999999993</v>
      </c>
      <c r="C9" s="6">
        <v>15.9</v>
      </c>
      <c r="D9" s="6">
        <v>128.47</v>
      </c>
      <c r="E9" s="6">
        <v>85.35</v>
      </c>
      <c r="F9" s="6">
        <v>2.5099999999999998</v>
      </c>
      <c r="G9" s="6">
        <v>7.2</v>
      </c>
      <c r="H9" s="6">
        <v>81.8</v>
      </c>
      <c r="I9" s="6">
        <v>12.3</v>
      </c>
      <c r="J9" s="6">
        <v>0.5</v>
      </c>
      <c r="K9" s="6">
        <v>5757.83</v>
      </c>
      <c r="L9" s="2">
        <f t="shared" si="0"/>
        <v>14586.579999999998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8761.66</v>
      </c>
      <c r="C12" s="6">
        <v>18.03</v>
      </c>
      <c r="D12" s="6">
        <v>380.2</v>
      </c>
      <c r="E12" s="6">
        <v>165.99</v>
      </c>
      <c r="F12" s="6">
        <v>1.4</v>
      </c>
      <c r="G12" s="6">
        <v>4.8</v>
      </c>
      <c r="H12" s="6">
        <v>114.3</v>
      </c>
      <c r="I12" s="6">
        <v>24.4</v>
      </c>
      <c r="J12" s="6">
        <v>2.8</v>
      </c>
      <c r="K12" s="6">
        <v>12825.67</v>
      </c>
      <c r="L12" s="2">
        <f t="shared" si="0"/>
        <v>22299.25</v>
      </c>
    </row>
    <row r="13" spans="1:12" x14ac:dyDescent="0.35">
      <c r="A13" s="5" t="s">
        <v>22</v>
      </c>
      <c r="B13" s="6">
        <v>9823.3799999999992</v>
      </c>
      <c r="C13" s="6">
        <v>13.21</v>
      </c>
      <c r="D13" s="6">
        <v>292.91000000000003</v>
      </c>
      <c r="E13" s="6">
        <v>126.35</v>
      </c>
      <c r="F13" s="6">
        <v>40.54</v>
      </c>
      <c r="G13" s="6">
        <v>1.5</v>
      </c>
      <c r="H13" s="6">
        <v>88.5</v>
      </c>
      <c r="I13" s="6">
        <v>3</v>
      </c>
      <c r="J13" s="6">
        <v>1.2</v>
      </c>
      <c r="K13" s="6">
        <v>11076.85</v>
      </c>
      <c r="L13" s="2">
        <f t="shared" si="0"/>
        <v>21467.440000000002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734.38</v>
      </c>
      <c r="C19" s="6">
        <v>2.42</v>
      </c>
      <c r="D19" s="6">
        <v>40.79</v>
      </c>
      <c r="E19" s="6">
        <v>2.5</v>
      </c>
      <c r="F19" s="6">
        <v>0.16</v>
      </c>
      <c r="G19" s="6">
        <v>0</v>
      </c>
      <c r="H19" s="6">
        <v>51.9</v>
      </c>
      <c r="I19" s="6">
        <v>0.1</v>
      </c>
      <c r="J19" s="6">
        <v>0</v>
      </c>
      <c r="K19" s="6">
        <v>370.19</v>
      </c>
      <c r="L19" s="2">
        <f t="shared" si="0"/>
        <v>1202.4399999999998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3026.23</v>
      </c>
      <c r="C22" s="6">
        <v>1.85</v>
      </c>
      <c r="D22" s="6">
        <v>84.06</v>
      </c>
      <c r="E22" s="6">
        <v>60</v>
      </c>
      <c r="F22" s="6">
        <v>0.2</v>
      </c>
      <c r="G22" s="6">
        <v>24.3</v>
      </c>
      <c r="H22" s="6">
        <v>26.6</v>
      </c>
      <c r="I22" s="6">
        <v>2.2999999999999998</v>
      </c>
      <c r="J22" s="6">
        <v>2.7</v>
      </c>
      <c r="K22" s="6">
        <v>5775.23</v>
      </c>
      <c r="L22" s="2">
        <f t="shared" si="0"/>
        <v>9003.4699999999993</v>
      </c>
    </row>
    <row r="23" spans="1:12" x14ac:dyDescent="0.35">
      <c r="A23" s="5" t="s">
        <v>32</v>
      </c>
      <c r="B23" s="6">
        <v>8688.16</v>
      </c>
      <c r="C23" s="6">
        <v>16.899999999999999</v>
      </c>
      <c r="D23" s="6">
        <v>301.06</v>
      </c>
      <c r="E23" s="6">
        <v>151.85</v>
      </c>
      <c r="F23" s="6">
        <v>20.93</v>
      </c>
      <c r="G23" s="6">
        <v>52.8</v>
      </c>
      <c r="H23" s="6">
        <v>134.6</v>
      </c>
      <c r="I23" s="6">
        <v>21.9</v>
      </c>
      <c r="J23" s="6">
        <v>2.8</v>
      </c>
      <c r="K23" s="6">
        <v>4806.84</v>
      </c>
      <c r="L23" s="2">
        <f t="shared" si="0"/>
        <v>14197.839999999998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9763.75</v>
      </c>
      <c r="C34" s="6">
        <v>47.78</v>
      </c>
      <c r="D34" s="6">
        <v>976.43</v>
      </c>
      <c r="E34" s="6">
        <v>51.85</v>
      </c>
      <c r="F34" s="6">
        <v>28.43</v>
      </c>
      <c r="G34" s="6">
        <v>3.9</v>
      </c>
      <c r="H34" s="6">
        <v>165.6</v>
      </c>
      <c r="I34" s="6">
        <v>10.199999999999999</v>
      </c>
      <c r="J34" s="6">
        <v>2.6</v>
      </c>
      <c r="K34" s="6">
        <v>6281.68</v>
      </c>
      <c r="L34" s="2">
        <f t="shared" si="0"/>
        <v>17332.22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3358.32</v>
      </c>
      <c r="C36" s="6">
        <v>8.36</v>
      </c>
      <c r="D36" s="6">
        <v>253.62</v>
      </c>
      <c r="E36" s="6">
        <v>50.65</v>
      </c>
      <c r="F36" s="6">
        <v>6.42</v>
      </c>
      <c r="G36" s="6">
        <v>3.5</v>
      </c>
      <c r="H36" s="6">
        <v>58.5</v>
      </c>
      <c r="I36" s="6">
        <v>4.3</v>
      </c>
      <c r="J36" s="6">
        <v>0.4</v>
      </c>
      <c r="K36" s="6">
        <v>15066</v>
      </c>
      <c r="L36" s="2">
        <f t="shared" si="0"/>
        <v>18810.07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11672.83</v>
      </c>
      <c r="C41" s="6">
        <v>20.88</v>
      </c>
      <c r="D41" s="6">
        <v>339.34</v>
      </c>
      <c r="E41" s="6">
        <v>228.3</v>
      </c>
      <c r="F41" s="6">
        <v>82.81</v>
      </c>
      <c r="G41" s="6">
        <v>13.7</v>
      </c>
      <c r="H41" s="6">
        <v>397.5</v>
      </c>
      <c r="I41" s="6">
        <v>57.6</v>
      </c>
      <c r="J41" s="6">
        <v>4.3</v>
      </c>
      <c r="K41" s="6">
        <v>16318.83</v>
      </c>
      <c r="L41" s="2">
        <f t="shared" si="0"/>
        <v>29136.089999999997</v>
      </c>
    </row>
    <row r="42" spans="1:12" x14ac:dyDescent="0.35">
      <c r="A42" s="5" t="s">
        <v>51</v>
      </c>
      <c r="B42" s="6">
        <v>6980.35</v>
      </c>
      <c r="C42" s="6">
        <v>25.59</v>
      </c>
      <c r="D42" s="6">
        <v>430.98</v>
      </c>
      <c r="E42" s="6">
        <v>63.47</v>
      </c>
      <c r="F42" s="6">
        <v>2</v>
      </c>
      <c r="G42" s="6">
        <v>2.6</v>
      </c>
      <c r="H42" s="6">
        <v>122.8</v>
      </c>
      <c r="I42" s="6">
        <v>0.4</v>
      </c>
      <c r="J42" s="6">
        <v>1</v>
      </c>
      <c r="K42" s="6">
        <v>2373.42</v>
      </c>
      <c r="L42" s="2">
        <f t="shared" si="0"/>
        <v>10002.61</v>
      </c>
    </row>
    <row r="43" spans="1:12" x14ac:dyDescent="0.35">
      <c r="A43" s="5" t="s">
        <v>52</v>
      </c>
      <c r="B43" s="6">
        <v>4319.5</v>
      </c>
      <c r="C43" s="6">
        <v>45.43</v>
      </c>
      <c r="D43" s="6">
        <v>115.91</v>
      </c>
      <c r="E43" s="6">
        <v>15.03</v>
      </c>
      <c r="F43" s="6">
        <v>0</v>
      </c>
      <c r="G43" s="6">
        <v>0.4</v>
      </c>
      <c r="H43" s="6">
        <v>48.1</v>
      </c>
      <c r="I43" s="6">
        <v>0.9</v>
      </c>
      <c r="J43" s="6">
        <v>0.8</v>
      </c>
      <c r="K43" s="6">
        <v>8076.69</v>
      </c>
      <c r="L43" s="2">
        <f t="shared" si="0"/>
        <v>12622.759999999998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3074.58</v>
      </c>
      <c r="C45" s="6">
        <v>17.93</v>
      </c>
      <c r="D45" s="6">
        <v>85.26</v>
      </c>
      <c r="E45" s="6">
        <v>43.1</v>
      </c>
      <c r="F45" s="6">
        <v>0.39</v>
      </c>
      <c r="G45" s="6">
        <v>1.3</v>
      </c>
      <c r="H45" s="6">
        <v>34.9</v>
      </c>
      <c r="I45" s="6">
        <v>4.8</v>
      </c>
      <c r="J45" s="6">
        <v>0.3</v>
      </c>
      <c r="K45" s="6">
        <v>919.86</v>
      </c>
      <c r="L45" s="2">
        <f t="shared" si="0"/>
        <v>4182.42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1317.97</v>
      </c>
      <c r="C49" s="6">
        <v>1.42</v>
      </c>
      <c r="D49" s="6">
        <v>82.38</v>
      </c>
      <c r="E49" s="6">
        <v>15.89</v>
      </c>
      <c r="F49" s="6">
        <v>7.05</v>
      </c>
      <c r="G49" s="6">
        <v>0.4</v>
      </c>
      <c r="H49" s="6">
        <v>22.5</v>
      </c>
      <c r="I49" s="6">
        <v>1.5</v>
      </c>
      <c r="J49" s="6">
        <v>0</v>
      </c>
      <c r="K49" s="6">
        <v>349.09</v>
      </c>
      <c r="L49" s="2">
        <f t="shared" si="0"/>
        <v>1798.2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11951.23</v>
      </c>
      <c r="C52" s="6">
        <v>14.89</v>
      </c>
      <c r="D52" s="6">
        <v>417.28</v>
      </c>
      <c r="E52" s="6">
        <v>319.32</v>
      </c>
      <c r="F52" s="6">
        <v>5.88</v>
      </c>
      <c r="G52" s="6">
        <v>16.2</v>
      </c>
      <c r="H52" s="6">
        <v>220.9</v>
      </c>
      <c r="I52" s="6">
        <v>17.5</v>
      </c>
      <c r="J52" s="6">
        <v>3.6</v>
      </c>
      <c r="K52" s="6">
        <v>6478.66</v>
      </c>
      <c r="L52" s="2">
        <f t="shared" si="0"/>
        <v>19445.46</v>
      </c>
    </row>
    <row r="53" spans="1:12" x14ac:dyDescent="0.35">
      <c r="A53" s="5" t="s">
        <v>62</v>
      </c>
      <c r="B53" s="6">
        <v>21109.45</v>
      </c>
      <c r="C53" s="6">
        <v>39.32</v>
      </c>
      <c r="D53" s="6">
        <v>603.75</v>
      </c>
      <c r="E53" s="6">
        <v>236.95</v>
      </c>
      <c r="F53" s="6">
        <v>16.649999999999999</v>
      </c>
      <c r="G53" s="6">
        <v>235.1</v>
      </c>
      <c r="H53" s="6">
        <v>303</v>
      </c>
      <c r="I53" s="6">
        <v>14.8</v>
      </c>
      <c r="J53" s="6">
        <v>4.9000000000000004</v>
      </c>
      <c r="K53" s="6">
        <v>57933.66</v>
      </c>
      <c r="L53" s="2">
        <f t="shared" si="0"/>
        <v>80497.58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673.65</v>
      </c>
      <c r="C58" s="6">
        <v>1.1299999999999999</v>
      </c>
      <c r="D58" s="6">
        <v>35.979999999999997</v>
      </c>
      <c r="E58" s="6">
        <v>50.85</v>
      </c>
      <c r="F58" s="6">
        <v>0.05</v>
      </c>
      <c r="G58" s="6">
        <v>0.4</v>
      </c>
      <c r="H58" s="6">
        <v>19.2</v>
      </c>
      <c r="I58" s="6">
        <v>2.1</v>
      </c>
      <c r="J58" s="6">
        <v>0.3</v>
      </c>
      <c r="K58" s="6">
        <v>909.49</v>
      </c>
      <c r="L58" s="2">
        <f t="shared" si="0"/>
        <v>1693.15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115471.89</v>
      </c>
      <c r="C60" s="7">
        <v>299.37</v>
      </c>
      <c r="D60" s="7">
        <v>4673.5600000000004</v>
      </c>
      <c r="E60" s="7">
        <v>1675.84</v>
      </c>
      <c r="F60" s="7">
        <v>224.99</v>
      </c>
      <c r="G60" s="7">
        <v>368.3</v>
      </c>
      <c r="H60" s="7">
        <v>1987.4</v>
      </c>
      <c r="I60" s="7">
        <v>192.8</v>
      </c>
      <c r="J60" s="7">
        <v>28.6</v>
      </c>
      <c r="K60" s="7">
        <v>157366.21</v>
      </c>
      <c r="L60" s="2">
        <f t="shared" si="0"/>
        <v>282288.95999999996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060A-6300-4BA0-B132-1710D651E302}">
  <dimension ref="A1:L60"/>
  <sheetViews>
    <sheetView workbookViewId="0">
      <selection activeCell="M8" sqref="M8"/>
    </sheetView>
  </sheetViews>
  <sheetFormatPr defaultRowHeight="14.5" x14ac:dyDescent="0.35"/>
  <cols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9" max="9" width="19.54296875" bestFit="1" customWidth="1"/>
    <col min="10" max="10" width="15.363281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1879.56</v>
      </c>
      <c r="C3" s="6">
        <v>6.73</v>
      </c>
      <c r="D3" s="6">
        <v>149.57</v>
      </c>
      <c r="E3" s="6">
        <v>16.7</v>
      </c>
      <c r="F3" s="6">
        <v>3.38</v>
      </c>
      <c r="G3" s="6">
        <v>3.3</v>
      </c>
      <c r="H3" s="6">
        <v>70.400000000000006</v>
      </c>
      <c r="I3" s="6">
        <v>0.2</v>
      </c>
      <c r="J3" s="6">
        <v>0.5</v>
      </c>
      <c r="K3" s="6">
        <v>1102.3499999999999</v>
      </c>
      <c r="L3" s="2">
        <f t="shared" ref="L3:L60" si="0">SUM(B3:K3)</f>
        <v>3232.69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8557.76</v>
      </c>
      <c r="C9" s="6">
        <v>12.61</v>
      </c>
      <c r="D9" s="6">
        <v>200.61</v>
      </c>
      <c r="E9" s="6">
        <v>114.8</v>
      </c>
      <c r="F9" s="6">
        <v>3.52</v>
      </c>
      <c r="G9" s="6">
        <v>1.7</v>
      </c>
      <c r="H9" s="6">
        <v>55.4</v>
      </c>
      <c r="I9" s="6">
        <v>1.8</v>
      </c>
      <c r="J9" s="6">
        <v>2.5</v>
      </c>
      <c r="K9" s="6">
        <v>6722.74</v>
      </c>
      <c r="L9" s="2">
        <f t="shared" si="0"/>
        <v>15673.44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9413.2000000000007</v>
      </c>
      <c r="C12" s="6">
        <v>36.24</v>
      </c>
      <c r="D12" s="6">
        <v>373.92</v>
      </c>
      <c r="E12" s="6">
        <v>150.66</v>
      </c>
      <c r="F12" s="6">
        <v>1.25</v>
      </c>
      <c r="G12" s="6">
        <v>4.5</v>
      </c>
      <c r="H12" s="6">
        <v>89.5</v>
      </c>
      <c r="I12" s="6">
        <v>6.3</v>
      </c>
      <c r="J12" s="6">
        <v>2.2000000000000002</v>
      </c>
      <c r="K12" s="6">
        <v>12767.61</v>
      </c>
      <c r="L12" s="2">
        <f t="shared" si="0"/>
        <v>22845.38</v>
      </c>
    </row>
    <row r="13" spans="1:12" x14ac:dyDescent="0.35">
      <c r="A13" s="5" t="s">
        <v>22</v>
      </c>
      <c r="B13" s="6">
        <v>10601.33</v>
      </c>
      <c r="C13" s="6">
        <v>15.49</v>
      </c>
      <c r="D13" s="6">
        <v>337.96</v>
      </c>
      <c r="E13" s="6">
        <v>161.61000000000001</v>
      </c>
      <c r="F13" s="6">
        <v>9.43</v>
      </c>
      <c r="G13" s="6">
        <v>1.5</v>
      </c>
      <c r="H13" s="6">
        <v>105.6</v>
      </c>
      <c r="I13" s="6">
        <v>1.3</v>
      </c>
      <c r="J13" s="6">
        <v>1.8</v>
      </c>
      <c r="K13" s="6">
        <v>10958.52</v>
      </c>
      <c r="L13" s="2">
        <f t="shared" si="0"/>
        <v>22194.54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5493.1</v>
      </c>
      <c r="C19" s="6">
        <v>19.45</v>
      </c>
      <c r="D19" s="6">
        <v>438.35</v>
      </c>
      <c r="E19" s="6">
        <v>37.29</v>
      </c>
      <c r="F19" s="6">
        <v>5.66</v>
      </c>
      <c r="G19" s="6">
        <v>3.1</v>
      </c>
      <c r="H19" s="6">
        <v>195.1</v>
      </c>
      <c r="I19" s="6">
        <v>4.5</v>
      </c>
      <c r="J19" s="6">
        <v>0.3</v>
      </c>
      <c r="K19" s="6">
        <v>2591.09</v>
      </c>
      <c r="L19" s="2">
        <f t="shared" si="0"/>
        <v>8787.9400000000023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2523.3200000000002</v>
      </c>
      <c r="C22" s="6">
        <v>4.71</v>
      </c>
      <c r="D22" s="6">
        <v>29.88</v>
      </c>
      <c r="E22" s="6">
        <v>4.42</v>
      </c>
      <c r="F22" s="6">
        <v>4.0999999999999996</v>
      </c>
      <c r="G22" s="6">
        <v>19.5</v>
      </c>
      <c r="H22" s="6">
        <v>27.5</v>
      </c>
      <c r="I22" s="6">
        <v>0</v>
      </c>
      <c r="J22" s="6">
        <v>0.8</v>
      </c>
      <c r="K22" s="6">
        <v>4145.1499999999996</v>
      </c>
      <c r="L22" s="2">
        <f t="shared" si="0"/>
        <v>6759.38</v>
      </c>
    </row>
    <row r="23" spans="1:12" x14ac:dyDescent="0.35">
      <c r="A23" s="5" t="s">
        <v>32</v>
      </c>
      <c r="B23" s="6">
        <v>8782.2900000000009</v>
      </c>
      <c r="C23" s="6">
        <v>30.22</v>
      </c>
      <c r="D23" s="6">
        <v>226.02</v>
      </c>
      <c r="E23" s="6">
        <v>232.56</v>
      </c>
      <c r="F23" s="6">
        <v>27.1</v>
      </c>
      <c r="G23" s="6">
        <v>21.6</v>
      </c>
      <c r="H23" s="6">
        <v>199.2</v>
      </c>
      <c r="I23" s="6">
        <v>3.5</v>
      </c>
      <c r="J23" s="6">
        <v>3</v>
      </c>
      <c r="K23" s="6">
        <v>5264.05</v>
      </c>
      <c r="L23" s="2">
        <f t="shared" si="0"/>
        <v>14789.54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10009.82</v>
      </c>
      <c r="C34" s="6">
        <v>33.020000000000003</v>
      </c>
      <c r="D34" s="6">
        <v>1193.6600000000001</v>
      </c>
      <c r="E34" s="6">
        <v>64.61</v>
      </c>
      <c r="F34" s="6">
        <v>31.78</v>
      </c>
      <c r="G34" s="6">
        <v>2.9</v>
      </c>
      <c r="H34" s="6">
        <v>297.2</v>
      </c>
      <c r="I34" s="6">
        <v>0.8</v>
      </c>
      <c r="J34" s="6">
        <v>1.1000000000000001</v>
      </c>
      <c r="K34" s="6">
        <v>5963.71</v>
      </c>
      <c r="L34" s="2">
        <f t="shared" si="0"/>
        <v>17598.600000000002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3289.85</v>
      </c>
      <c r="C36" s="6">
        <v>10.07</v>
      </c>
      <c r="D36" s="6">
        <v>303.05</v>
      </c>
      <c r="E36" s="6">
        <v>50.28</v>
      </c>
      <c r="F36" s="6">
        <v>2.27</v>
      </c>
      <c r="G36" s="6">
        <v>5.0999999999999996</v>
      </c>
      <c r="H36" s="6">
        <v>85.7</v>
      </c>
      <c r="I36" s="6">
        <v>0.6</v>
      </c>
      <c r="J36" s="6">
        <v>1</v>
      </c>
      <c r="K36" s="6">
        <v>14725.76</v>
      </c>
      <c r="L36" s="2">
        <f t="shared" si="0"/>
        <v>18473.68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11334.55</v>
      </c>
      <c r="C41" s="6">
        <v>23.88</v>
      </c>
      <c r="D41" s="6">
        <v>332.5</v>
      </c>
      <c r="E41" s="6">
        <v>179.46</v>
      </c>
      <c r="F41" s="6">
        <v>37.06</v>
      </c>
      <c r="G41" s="6">
        <v>7.8</v>
      </c>
      <c r="H41" s="6">
        <v>240.8</v>
      </c>
      <c r="I41" s="6">
        <v>4.8</v>
      </c>
      <c r="J41" s="6">
        <v>5.7</v>
      </c>
      <c r="K41" s="6">
        <v>16112.48</v>
      </c>
      <c r="L41" s="2">
        <f t="shared" si="0"/>
        <v>28279.029999999995</v>
      </c>
    </row>
    <row r="42" spans="1:12" x14ac:dyDescent="0.35">
      <c r="A42" s="5" t="s">
        <v>51</v>
      </c>
      <c r="B42" s="6">
        <v>8283.61</v>
      </c>
      <c r="C42" s="6">
        <v>22.42</v>
      </c>
      <c r="D42" s="6">
        <v>658.63</v>
      </c>
      <c r="E42" s="6">
        <v>74.7</v>
      </c>
      <c r="F42" s="6">
        <v>0.9</v>
      </c>
      <c r="G42" s="6">
        <v>3.5</v>
      </c>
      <c r="H42" s="6">
        <v>143</v>
      </c>
      <c r="I42" s="6">
        <v>0.6</v>
      </c>
      <c r="J42" s="6">
        <v>0.9</v>
      </c>
      <c r="K42" s="6">
        <v>4145.68</v>
      </c>
      <c r="L42" s="2">
        <f t="shared" si="0"/>
        <v>13333.94</v>
      </c>
    </row>
    <row r="43" spans="1:12" x14ac:dyDescent="0.35">
      <c r="A43" s="5" t="s">
        <v>52</v>
      </c>
      <c r="B43" s="6">
        <v>4600.26</v>
      </c>
      <c r="C43" s="6">
        <v>57.77</v>
      </c>
      <c r="D43" s="6">
        <v>115.09</v>
      </c>
      <c r="E43" s="6">
        <v>25.64</v>
      </c>
      <c r="F43" s="6">
        <v>0</v>
      </c>
      <c r="G43" s="6">
        <v>1</v>
      </c>
      <c r="H43" s="6">
        <v>34.6</v>
      </c>
      <c r="I43" s="6">
        <v>0.2</v>
      </c>
      <c r="J43" s="6">
        <v>2.4</v>
      </c>
      <c r="K43" s="6">
        <v>8326.33</v>
      </c>
      <c r="L43" s="2">
        <f t="shared" si="0"/>
        <v>13163.29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4357.82</v>
      </c>
      <c r="C45" s="6">
        <v>19.71</v>
      </c>
      <c r="D45" s="6">
        <v>228.54</v>
      </c>
      <c r="E45" s="6">
        <v>60.45</v>
      </c>
      <c r="F45" s="6">
        <v>4.62</v>
      </c>
      <c r="G45" s="6">
        <v>0.6</v>
      </c>
      <c r="H45" s="6">
        <v>68.5</v>
      </c>
      <c r="I45" s="6">
        <v>0</v>
      </c>
      <c r="J45" s="6">
        <v>2.5</v>
      </c>
      <c r="K45" s="6">
        <v>2844.31</v>
      </c>
      <c r="L45" s="2">
        <f t="shared" si="0"/>
        <v>7587.0499999999993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1337.39</v>
      </c>
      <c r="C49" s="6">
        <v>3.9</v>
      </c>
      <c r="D49" s="6">
        <v>49.67</v>
      </c>
      <c r="E49" s="6">
        <v>6.89</v>
      </c>
      <c r="F49" s="6">
        <v>0.01</v>
      </c>
      <c r="G49" s="6">
        <v>0.4</v>
      </c>
      <c r="H49" s="6">
        <v>43.2</v>
      </c>
      <c r="I49" s="6">
        <v>0.2</v>
      </c>
      <c r="J49" s="6">
        <v>0.6</v>
      </c>
      <c r="K49" s="6">
        <v>341.77</v>
      </c>
      <c r="L49" s="2">
        <f t="shared" si="0"/>
        <v>1784.0300000000004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12288.9</v>
      </c>
      <c r="C52" s="6">
        <v>25.47</v>
      </c>
      <c r="D52" s="6">
        <v>476.65</v>
      </c>
      <c r="E52" s="6">
        <v>289.08999999999997</v>
      </c>
      <c r="F52" s="6">
        <v>4.8499999999999996</v>
      </c>
      <c r="G52" s="6">
        <v>15.7</v>
      </c>
      <c r="H52" s="6">
        <v>327.10000000000002</v>
      </c>
      <c r="I52" s="6">
        <v>8</v>
      </c>
      <c r="J52" s="6">
        <v>4.2</v>
      </c>
      <c r="K52" s="6">
        <v>7545.51</v>
      </c>
      <c r="L52" s="2">
        <f t="shared" si="0"/>
        <v>20985.47</v>
      </c>
    </row>
    <row r="53" spans="1:12" x14ac:dyDescent="0.35">
      <c r="A53" s="5" t="s">
        <v>62</v>
      </c>
      <c r="B53" s="6">
        <v>22361.599999999999</v>
      </c>
      <c r="C53" s="6">
        <v>52.53</v>
      </c>
      <c r="D53" s="6">
        <v>696.95</v>
      </c>
      <c r="E53" s="6">
        <v>426.57</v>
      </c>
      <c r="F53" s="6">
        <v>47.38</v>
      </c>
      <c r="G53" s="6">
        <v>216.6</v>
      </c>
      <c r="H53" s="6">
        <v>438.6</v>
      </c>
      <c r="I53" s="6">
        <v>3.9</v>
      </c>
      <c r="J53" s="6">
        <v>12.6</v>
      </c>
      <c r="K53" s="6">
        <v>59548.99</v>
      </c>
      <c r="L53" s="2">
        <f t="shared" si="0"/>
        <v>83805.72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2459.38</v>
      </c>
      <c r="C58" s="6">
        <v>9.14</v>
      </c>
      <c r="D58" s="6">
        <v>104.42</v>
      </c>
      <c r="E58" s="6">
        <v>114.73</v>
      </c>
      <c r="F58" s="6">
        <v>1.41</v>
      </c>
      <c r="G58" s="6">
        <v>0.9</v>
      </c>
      <c r="H58" s="6">
        <v>62.4</v>
      </c>
      <c r="I58" s="6">
        <v>3.5</v>
      </c>
      <c r="J58" s="6">
        <v>0.7</v>
      </c>
      <c r="K58" s="6">
        <v>3052.74</v>
      </c>
      <c r="L58" s="2">
        <f t="shared" si="0"/>
        <v>5809.32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127573.75</v>
      </c>
      <c r="C60" s="7">
        <v>383.35</v>
      </c>
      <c r="D60" s="7">
        <v>5915.46</v>
      </c>
      <c r="E60" s="7">
        <v>2010.46</v>
      </c>
      <c r="F60" s="7">
        <v>184.72</v>
      </c>
      <c r="G60" s="7">
        <v>309.7</v>
      </c>
      <c r="H60" s="7">
        <v>2483.8000000000002</v>
      </c>
      <c r="I60" s="7">
        <v>40.200000000000003</v>
      </c>
      <c r="J60" s="7">
        <v>42.8</v>
      </c>
      <c r="K60" s="7">
        <v>166158.79999999999</v>
      </c>
      <c r="L60" s="2">
        <f t="shared" si="0"/>
        <v>305103.03999999998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FED4-2395-4A44-A235-5B0DF2DC8716}">
  <dimension ref="A1:L60"/>
  <sheetViews>
    <sheetView topLeftCell="A7" workbookViewId="0">
      <selection activeCell="L60" sqref="L60"/>
    </sheetView>
  </sheetViews>
  <sheetFormatPr defaultRowHeight="14.5" x14ac:dyDescent="0.35"/>
  <cols>
    <col min="1" max="1" width="18.08984375" bestFit="1" customWidth="1"/>
    <col min="2" max="2" width="22.453125" bestFit="1" customWidth="1"/>
    <col min="3" max="3" width="18.08984375" bestFit="1" customWidth="1"/>
    <col min="4" max="4" width="21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9" max="9" width="19.54296875" bestFit="1" customWidth="1"/>
    <col min="10" max="10" width="15.36328125" bestFit="1" customWidth="1"/>
    <col min="11" max="11" width="19.4531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11.97</v>
      </c>
      <c r="D2" s="6">
        <v>4157.0200000000004</v>
      </c>
      <c r="E2" s="6">
        <v>59.3</v>
      </c>
      <c r="F2" s="6">
        <v>2.1</v>
      </c>
      <c r="G2" s="6">
        <v>0.7</v>
      </c>
      <c r="H2" s="6">
        <v>40.4</v>
      </c>
      <c r="I2" s="6">
        <v>0.7</v>
      </c>
      <c r="J2" s="6">
        <v>4</v>
      </c>
      <c r="K2" s="6">
        <v>3424.75</v>
      </c>
      <c r="L2" s="2">
        <f>SUM(B2:K2)</f>
        <v>7700.9400000000005</v>
      </c>
    </row>
    <row r="3" spans="1:12" x14ac:dyDescent="0.35">
      <c r="A3" s="5" t="s">
        <v>12</v>
      </c>
      <c r="B3" s="6">
        <v>368.75</v>
      </c>
      <c r="C3" s="6">
        <v>5.4</v>
      </c>
      <c r="D3" s="6">
        <v>2138.09</v>
      </c>
      <c r="E3" s="6">
        <v>9.84</v>
      </c>
      <c r="F3" s="6">
        <v>0.88</v>
      </c>
      <c r="G3" s="6">
        <v>3</v>
      </c>
      <c r="H3" s="6">
        <v>54</v>
      </c>
      <c r="I3" s="6">
        <v>0</v>
      </c>
      <c r="J3" s="6">
        <v>1</v>
      </c>
      <c r="K3" s="6">
        <v>1656.21</v>
      </c>
      <c r="L3" s="2">
        <f t="shared" ref="L3:L60" si="0">SUM(B3:K3)</f>
        <v>4237.17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699</v>
      </c>
      <c r="C6" s="6">
        <v>9.01</v>
      </c>
      <c r="D6" s="6">
        <v>2583.34</v>
      </c>
      <c r="E6" s="6">
        <v>120.83</v>
      </c>
      <c r="F6" s="6">
        <v>0.85</v>
      </c>
      <c r="G6" s="6">
        <v>0.5</v>
      </c>
      <c r="H6" s="6">
        <v>83.9</v>
      </c>
      <c r="I6" s="6">
        <v>1.9</v>
      </c>
      <c r="J6" s="6">
        <v>6.1</v>
      </c>
      <c r="K6" s="6">
        <v>3629.08</v>
      </c>
      <c r="L6" s="2">
        <f t="shared" si="0"/>
        <v>7134.51</v>
      </c>
    </row>
    <row r="7" spans="1:12" x14ac:dyDescent="0.35">
      <c r="A7" s="5" t="s">
        <v>16</v>
      </c>
      <c r="B7" s="6">
        <v>59.11</v>
      </c>
      <c r="C7" s="6">
        <v>0.44</v>
      </c>
      <c r="D7" s="6">
        <v>1305.01</v>
      </c>
      <c r="E7" s="6">
        <v>43.15</v>
      </c>
      <c r="F7" s="6">
        <v>73.430000000000007</v>
      </c>
      <c r="G7" s="6">
        <v>0.1</v>
      </c>
      <c r="H7" s="6">
        <v>31.3</v>
      </c>
      <c r="I7" s="6">
        <v>0.7</v>
      </c>
      <c r="J7" s="6">
        <v>0.2</v>
      </c>
      <c r="K7" s="6">
        <v>2198.61</v>
      </c>
      <c r="L7" s="2">
        <f t="shared" si="0"/>
        <v>3712.05</v>
      </c>
    </row>
    <row r="8" spans="1:12" x14ac:dyDescent="0.35">
      <c r="A8" s="5" t="s">
        <v>17</v>
      </c>
      <c r="B8" s="6">
        <v>203.48</v>
      </c>
      <c r="C8" s="6">
        <v>1.98</v>
      </c>
      <c r="D8" s="6">
        <v>3018.03</v>
      </c>
      <c r="E8" s="6">
        <v>11.22</v>
      </c>
      <c r="F8" s="6">
        <v>7.2</v>
      </c>
      <c r="G8" s="6">
        <v>1.1000000000000001</v>
      </c>
      <c r="H8" s="6">
        <v>64</v>
      </c>
      <c r="I8" s="6">
        <v>0</v>
      </c>
      <c r="J8" s="6">
        <v>4.4000000000000004</v>
      </c>
      <c r="K8" s="6">
        <v>2862.76</v>
      </c>
      <c r="L8" s="2">
        <f t="shared" si="0"/>
        <v>6174.17</v>
      </c>
    </row>
    <row r="9" spans="1:12" x14ac:dyDescent="0.35">
      <c r="A9" s="5" t="s">
        <v>18</v>
      </c>
      <c r="B9" s="6">
        <v>2594.94</v>
      </c>
      <c r="C9" s="6">
        <v>9.8800000000000008</v>
      </c>
      <c r="D9" s="6">
        <v>6707.99</v>
      </c>
      <c r="E9" s="6">
        <v>116.17</v>
      </c>
      <c r="F9" s="6">
        <v>1.52</v>
      </c>
      <c r="G9" s="6">
        <v>6.7</v>
      </c>
      <c r="H9" s="6">
        <v>69</v>
      </c>
      <c r="I9" s="6">
        <v>2.9</v>
      </c>
      <c r="J9" s="6">
        <v>3.6</v>
      </c>
      <c r="K9" s="6">
        <v>7396.93</v>
      </c>
      <c r="L9" s="2">
        <f t="shared" si="0"/>
        <v>16909.63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2522.31</v>
      </c>
      <c r="C12" s="6">
        <v>12.13</v>
      </c>
      <c r="D12" s="6">
        <v>7462.86</v>
      </c>
      <c r="E12" s="6">
        <v>66.78</v>
      </c>
      <c r="F12" s="6">
        <v>3.67</v>
      </c>
      <c r="G12" s="6">
        <v>5</v>
      </c>
      <c r="H12" s="6">
        <v>135.5</v>
      </c>
      <c r="I12" s="6">
        <v>2.4</v>
      </c>
      <c r="J12" s="6">
        <v>5.2</v>
      </c>
      <c r="K12" s="6">
        <v>11531.2</v>
      </c>
      <c r="L12" s="2">
        <f t="shared" si="0"/>
        <v>21747.050000000003</v>
      </c>
    </row>
    <row r="13" spans="1:12" x14ac:dyDescent="0.35">
      <c r="A13" s="5" t="s">
        <v>22</v>
      </c>
      <c r="B13" s="6">
        <v>3369.48</v>
      </c>
      <c r="C13" s="6">
        <v>11.68</v>
      </c>
      <c r="D13" s="6">
        <v>7435.28</v>
      </c>
      <c r="E13" s="6">
        <v>128.22999999999999</v>
      </c>
      <c r="F13" s="6">
        <v>24.26</v>
      </c>
      <c r="G13" s="6">
        <v>1.4</v>
      </c>
      <c r="H13" s="6">
        <v>195</v>
      </c>
      <c r="I13" s="6">
        <v>0.7</v>
      </c>
      <c r="J13" s="6">
        <v>6.8</v>
      </c>
      <c r="K13" s="6">
        <v>11051.97</v>
      </c>
      <c r="L13" s="2">
        <f t="shared" si="0"/>
        <v>22224.799999999996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35.619999999999997</v>
      </c>
      <c r="C16" s="6">
        <v>4.8499999999999996</v>
      </c>
      <c r="D16" s="6">
        <v>673.7</v>
      </c>
      <c r="E16" s="6">
        <v>0.04</v>
      </c>
      <c r="F16" s="6">
        <v>0.01</v>
      </c>
      <c r="G16" s="6">
        <v>0</v>
      </c>
      <c r="H16" s="6">
        <v>25.5</v>
      </c>
      <c r="I16" s="6">
        <v>0</v>
      </c>
      <c r="J16" s="6">
        <v>0.4</v>
      </c>
      <c r="K16" s="6">
        <v>1385.43</v>
      </c>
      <c r="L16" s="2">
        <f t="shared" si="0"/>
        <v>2125.5500000000002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1290.44</v>
      </c>
      <c r="C19" s="6">
        <v>10.14</v>
      </c>
      <c r="D19" s="6">
        <v>5651.39</v>
      </c>
      <c r="E19" s="6">
        <v>33.020000000000003</v>
      </c>
      <c r="F19" s="6">
        <v>1.18</v>
      </c>
      <c r="G19" s="6">
        <v>1</v>
      </c>
      <c r="H19" s="6">
        <v>123.3</v>
      </c>
      <c r="I19" s="6">
        <v>0.2</v>
      </c>
      <c r="J19" s="6">
        <v>0.7</v>
      </c>
      <c r="K19" s="6">
        <v>4622.8900000000003</v>
      </c>
      <c r="L19" s="2">
        <f t="shared" si="0"/>
        <v>11734.260000000002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898.98</v>
      </c>
      <c r="C22" s="6">
        <v>17.71</v>
      </c>
      <c r="D22" s="6">
        <v>2455.75</v>
      </c>
      <c r="E22" s="6">
        <v>7.21</v>
      </c>
      <c r="F22" s="6">
        <v>0.88</v>
      </c>
      <c r="G22" s="6">
        <v>15.5</v>
      </c>
      <c r="H22" s="6">
        <v>37.799999999999997</v>
      </c>
      <c r="I22" s="6">
        <v>0</v>
      </c>
      <c r="J22" s="6">
        <v>7.5</v>
      </c>
      <c r="K22" s="6">
        <v>5782.77</v>
      </c>
      <c r="L22" s="2">
        <f t="shared" si="0"/>
        <v>9224.1</v>
      </c>
    </row>
    <row r="23" spans="1:12" x14ac:dyDescent="0.35">
      <c r="A23" s="5" t="s">
        <v>32</v>
      </c>
      <c r="B23" s="6">
        <v>2143.13</v>
      </c>
      <c r="C23" s="6">
        <v>15.15</v>
      </c>
      <c r="D23" s="6">
        <v>7421.88</v>
      </c>
      <c r="E23" s="6">
        <v>92.1</v>
      </c>
      <c r="F23" s="6">
        <v>35.979999999999997</v>
      </c>
      <c r="G23" s="6">
        <v>9.8000000000000007</v>
      </c>
      <c r="H23" s="6">
        <v>162.9</v>
      </c>
      <c r="I23" s="6">
        <v>4</v>
      </c>
      <c r="J23" s="6">
        <v>5.0999999999999996</v>
      </c>
      <c r="K23" s="6">
        <v>4658.13</v>
      </c>
      <c r="L23" s="2">
        <f t="shared" si="0"/>
        <v>14548.169999999998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4065.11</v>
      </c>
      <c r="C31" s="6">
        <v>33.93</v>
      </c>
      <c r="D31" s="6">
        <v>16372.3</v>
      </c>
      <c r="E31" s="6">
        <v>171.01</v>
      </c>
      <c r="F31" s="6">
        <v>7.1</v>
      </c>
      <c r="G31" s="6">
        <v>2.2999999999999998</v>
      </c>
      <c r="H31" s="6">
        <v>900.2</v>
      </c>
      <c r="I31" s="6">
        <v>2</v>
      </c>
      <c r="J31" s="6">
        <v>2.5</v>
      </c>
      <c r="K31" s="6">
        <v>5786.22</v>
      </c>
      <c r="L31" s="2">
        <f t="shared" si="0"/>
        <v>27342.67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2782.55</v>
      </c>
      <c r="C34" s="6">
        <v>14.97</v>
      </c>
      <c r="D34" s="6">
        <v>10648.9</v>
      </c>
      <c r="E34" s="6">
        <v>169.63</v>
      </c>
      <c r="F34" s="6">
        <v>72.099999999999994</v>
      </c>
      <c r="G34" s="6">
        <v>2.7</v>
      </c>
      <c r="H34" s="6">
        <v>411.8</v>
      </c>
      <c r="I34" s="6">
        <v>1.1000000000000001</v>
      </c>
      <c r="J34" s="6">
        <v>4.5999999999999996</v>
      </c>
      <c r="K34" s="6">
        <v>7995.4</v>
      </c>
      <c r="L34" s="2">
        <f t="shared" si="0"/>
        <v>22103.75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256.91000000000003</v>
      </c>
      <c r="C36" s="6">
        <v>11.65</v>
      </c>
      <c r="D36" s="6">
        <v>3331.88</v>
      </c>
      <c r="E36" s="6">
        <v>27.02</v>
      </c>
      <c r="F36" s="6">
        <v>10.06</v>
      </c>
      <c r="G36" s="6">
        <v>1.7</v>
      </c>
      <c r="H36" s="6">
        <v>74.2</v>
      </c>
      <c r="I36" s="6">
        <v>0.7</v>
      </c>
      <c r="J36" s="6">
        <v>2.7</v>
      </c>
      <c r="K36" s="6">
        <v>17717.900000000001</v>
      </c>
      <c r="L36" s="2">
        <f t="shared" si="0"/>
        <v>21434.720000000001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113.96</v>
      </c>
      <c r="C40" s="6">
        <v>2.4700000000000002</v>
      </c>
      <c r="D40" s="6">
        <v>1282.82</v>
      </c>
      <c r="E40" s="6">
        <v>9.6300000000000008</v>
      </c>
      <c r="F40" s="6">
        <v>0.05</v>
      </c>
      <c r="G40" s="6">
        <v>0.2</v>
      </c>
      <c r="H40" s="6">
        <v>23.3</v>
      </c>
      <c r="I40" s="6">
        <v>0</v>
      </c>
      <c r="J40" s="6">
        <v>0.4</v>
      </c>
      <c r="K40" s="6">
        <v>1543.95</v>
      </c>
      <c r="L40" s="2">
        <f t="shared" si="0"/>
        <v>2976.78</v>
      </c>
    </row>
    <row r="41" spans="1:12" x14ac:dyDescent="0.35">
      <c r="A41" s="5" t="s">
        <v>50</v>
      </c>
      <c r="B41" s="6">
        <v>1517.99</v>
      </c>
      <c r="C41" s="6">
        <v>24.3</v>
      </c>
      <c r="D41" s="6">
        <v>8236.16</v>
      </c>
      <c r="E41" s="6">
        <v>111.26</v>
      </c>
      <c r="F41" s="6">
        <v>125.82</v>
      </c>
      <c r="G41" s="6">
        <v>1.6</v>
      </c>
      <c r="H41" s="6">
        <v>172.2</v>
      </c>
      <c r="I41" s="6">
        <v>1.5</v>
      </c>
      <c r="J41" s="6">
        <v>6.4</v>
      </c>
      <c r="K41" s="6">
        <v>11236.38</v>
      </c>
      <c r="L41" s="2">
        <f t="shared" si="0"/>
        <v>21433.61</v>
      </c>
    </row>
    <row r="42" spans="1:12" x14ac:dyDescent="0.35">
      <c r="A42" s="5" t="s">
        <v>51</v>
      </c>
      <c r="B42" s="6">
        <v>2348.3200000000002</v>
      </c>
      <c r="C42" s="6">
        <v>17.149999999999999</v>
      </c>
      <c r="D42" s="6">
        <v>9552.74</v>
      </c>
      <c r="E42" s="6">
        <v>48.76</v>
      </c>
      <c r="F42" s="6">
        <v>1.05</v>
      </c>
      <c r="G42" s="6">
        <v>4.5999999999999996</v>
      </c>
      <c r="H42" s="6">
        <v>178</v>
      </c>
      <c r="I42" s="6">
        <v>0.7</v>
      </c>
      <c r="J42" s="6">
        <v>1.2</v>
      </c>
      <c r="K42" s="6">
        <v>4900.74</v>
      </c>
      <c r="L42" s="2">
        <f t="shared" si="0"/>
        <v>17053.260000000002</v>
      </c>
    </row>
    <row r="43" spans="1:12" x14ac:dyDescent="0.35">
      <c r="A43" s="5" t="s">
        <v>52</v>
      </c>
      <c r="B43" s="6">
        <v>761.21</v>
      </c>
      <c r="C43" s="6">
        <v>26.22</v>
      </c>
      <c r="D43" s="6">
        <v>3747.18</v>
      </c>
      <c r="E43" s="6">
        <v>15.91</v>
      </c>
      <c r="F43" s="6">
        <v>0.17</v>
      </c>
      <c r="G43" s="6">
        <v>0.7</v>
      </c>
      <c r="H43" s="6">
        <v>38.4</v>
      </c>
      <c r="I43" s="6">
        <v>0.3</v>
      </c>
      <c r="J43" s="6">
        <v>3.3</v>
      </c>
      <c r="K43" s="6">
        <v>8322.84</v>
      </c>
      <c r="L43" s="2">
        <f t="shared" si="0"/>
        <v>12916.23</v>
      </c>
    </row>
    <row r="44" spans="1:12" x14ac:dyDescent="0.35">
      <c r="A44" s="5" t="s">
        <v>53</v>
      </c>
      <c r="B44" s="6">
        <v>619.12</v>
      </c>
      <c r="C44" s="6">
        <v>4.33</v>
      </c>
      <c r="D44" s="6">
        <v>2956.4</v>
      </c>
      <c r="E44" s="6">
        <v>31.69</v>
      </c>
      <c r="F44" s="6">
        <v>3.78</v>
      </c>
      <c r="G44" s="6">
        <v>0.4</v>
      </c>
      <c r="H44" s="6">
        <v>77.400000000000006</v>
      </c>
      <c r="I44" s="6">
        <v>0.9</v>
      </c>
      <c r="J44" s="6">
        <v>1</v>
      </c>
      <c r="K44" s="6">
        <v>4133.21</v>
      </c>
      <c r="L44" s="2">
        <f t="shared" si="0"/>
        <v>7828.2300000000014</v>
      </c>
    </row>
    <row r="45" spans="1:12" x14ac:dyDescent="0.35">
      <c r="A45" s="5" t="s">
        <v>54</v>
      </c>
      <c r="B45" s="6">
        <v>1223.44</v>
      </c>
      <c r="C45" s="6">
        <v>12.25</v>
      </c>
      <c r="D45" s="6">
        <v>3699.63</v>
      </c>
      <c r="E45" s="6">
        <v>25.29</v>
      </c>
      <c r="F45" s="6">
        <v>2.13</v>
      </c>
      <c r="G45" s="6">
        <v>0.5</v>
      </c>
      <c r="H45" s="6">
        <v>117.1</v>
      </c>
      <c r="I45" s="6">
        <v>0.8</v>
      </c>
      <c r="J45" s="6">
        <v>3.9</v>
      </c>
      <c r="K45" s="6">
        <v>1746.31</v>
      </c>
      <c r="L45" s="2">
        <f t="shared" si="0"/>
        <v>6831.35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178.51</v>
      </c>
      <c r="C48" s="6">
        <v>7.11</v>
      </c>
      <c r="D48" s="6">
        <v>1600.03</v>
      </c>
      <c r="E48" s="6">
        <v>13.33</v>
      </c>
      <c r="F48" s="6">
        <v>1.88</v>
      </c>
      <c r="G48" s="6">
        <v>0.4</v>
      </c>
      <c r="H48" s="6">
        <v>24.1</v>
      </c>
      <c r="I48" s="6">
        <v>0.2</v>
      </c>
      <c r="J48" s="6">
        <v>4</v>
      </c>
      <c r="K48" s="6">
        <v>2177.67</v>
      </c>
      <c r="L48" s="2">
        <f t="shared" si="0"/>
        <v>4007.2300000000005</v>
      </c>
    </row>
    <row r="49" spans="1:12" x14ac:dyDescent="0.35">
      <c r="A49" s="5" t="s">
        <v>58</v>
      </c>
      <c r="B49" s="6">
        <v>198.87</v>
      </c>
      <c r="C49" s="6">
        <v>1.89</v>
      </c>
      <c r="D49" s="6">
        <v>1136.5999999999999</v>
      </c>
      <c r="E49" s="6">
        <v>0.64</v>
      </c>
      <c r="F49" s="6">
        <v>31.77</v>
      </c>
      <c r="G49" s="6">
        <v>0.2</v>
      </c>
      <c r="H49" s="6">
        <v>13.9</v>
      </c>
      <c r="I49" s="6">
        <v>0</v>
      </c>
      <c r="J49" s="6">
        <v>0.2</v>
      </c>
      <c r="K49" s="6">
        <v>458.37</v>
      </c>
      <c r="L49" s="2">
        <f t="shared" si="0"/>
        <v>1842.44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2254.84</v>
      </c>
      <c r="C52" s="6">
        <v>27.31</v>
      </c>
      <c r="D52" s="6">
        <v>7984.23</v>
      </c>
      <c r="E52" s="6">
        <v>117.77</v>
      </c>
      <c r="F52" s="6">
        <v>2.48</v>
      </c>
      <c r="G52" s="6">
        <v>8.6</v>
      </c>
      <c r="H52" s="6">
        <v>383.2</v>
      </c>
      <c r="I52" s="6">
        <v>3.5</v>
      </c>
      <c r="J52" s="6">
        <v>2.4</v>
      </c>
      <c r="K52" s="6">
        <v>6931.36</v>
      </c>
      <c r="L52" s="2">
        <f t="shared" si="0"/>
        <v>17715.689999999999</v>
      </c>
    </row>
    <row r="53" spans="1:12" x14ac:dyDescent="0.35">
      <c r="A53" s="5" t="s">
        <v>62</v>
      </c>
      <c r="B53" s="6">
        <v>3293.28</v>
      </c>
      <c r="C53" s="6">
        <v>41.84</v>
      </c>
      <c r="D53" s="6">
        <v>15278.33</v>
      </c>
      <c r="E53" s="6">
        <v>103.53</v>
      </c>
      <c r="F53" s="6">
        <v>66.66</v>
      </c>
      <c r="G53" s="6">
        <v>86.8</v>
      </c>
      <c r="H53" s="6">
        <v>208.2</v>
      </c>
      <c r="I53" s="6">
        <v>2.2000000000000002</v>
      </c>
      <c r="J53" s="6">
        <v>15.2</v>
      </c>
      <c r="K53" s="6">
        <v>44771.82</v>
      </c>
      <c r="L53" s="2">
        <f t="shared" si="0"/>
        <v>63867.86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526.92999999999995</v>
      </c>
      <c r="C58" s="6">
        <v>12.39</v>
      </c>
      <c r="D58" s="6">
        <v>3113.15</v>
      </c>
      <c r="E58" s="6">
        <v>145.11000000000001</v>
      </c>
      <c r="F58" s="6">
        <v>0.78</v>
      </c>
      <c r="G58" s="6">
        <v>1.9</v>
      </c>
      <c r="H58" s="6">
        <v>85.5</v>
      </c>
      <c r="I58" s="6">
        <v>3.5</v>
      </c>
      <c r="J58" s="6">
        <v>1.6</v>
      </c>
      <c r="K58" s="6">
        <v>3900.67</v>
      </c>
      <c r="L58" s="2">
        <f t="shared" si="0"/>
        <v>7791.5300000000007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34326.29</v>
      </c>
      <c r="C60" s="7">
        <v>348.15</v>
      </c>
      <c r="D60" s="7">
        <v>139950.69</v>
      </c>
      <c r="E60" s="7">
        <v>1678.46</v>
      </c>
      <c r="F60" s="7">
        <v>477.75</v>
      </c>
      <c r="G60" s="7">
        <v>157.4</v>
      </c>
      <c r="H60" s="7">
        <v>3730.1</v>
      </c>
      <c r="I60" s="7">
        <v>30.9</v>
      </c>
      <c r="J60" s="7">
        <v>94.4</v>
      </c>
      <c r="K60" s="7">
        <v>181823.57</v>
      </c>
      <c r="L60" s="2">
        <f t="shared" si="0"/>
        <v>362617.70999999996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AF0-B9CE-4470-8292-C462457AD618}">
  <dimension ref="A1:L60"/>
  <sheetViews>
    <sheetView topLeftCell="A48" workbookViewId="0">
      <selection activeCell="L60" sqref="L60"/>
    </sheetView>
  </sheetViews>
  <sheetFormatPr defaultRowHeight="14.5" x14ac:dyDescent="0.35"/>
  <cols>
    <col min="8" max="8" width="19.816406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2144.38</v>
      </c>
      <c r="C2" s="6">
        <v>26.49</v>
      </c>
      <c r="D2" s="6">
        <v>6588.26</v>
      </c>
      <c r="E2" s="6">
        <v>82.92</v>
      </c>
      <c r="F2" s="6">
        <v>9.5500000000000007</v>
      </c>
      <c r="G2" s="6">
        <v>2.7</v>
      </c>
      <c r="H2" s="6">
        <v>69.8</v>
      </c>
      <c r="I2" s="6">
        <v>0.6</v>
      </c>
      <c r="J2" s="6">
        <v>3.4</v>
      </c>
      <c r="K2" s="6">
        <v>8231.2999999999993</v>
      </c>
      <c r="L2" s="2">
        <f>SUM(B2:K2)</f>
        <v>17159.400000000001</v>
      </c>
    </row>
    <row r="3" spans="1:12" x14ac:dyDescent="0.35">
      <c r="A3" s="5" t="s">
        <v>12</v>
      </c>
      <c r="B3" s="6">
        <v>321.49</v>
      </c>
      <c r="C3" s="6">
        <v>8.68</v>
      </c>
      <c r="D3" s="6">
        <v>1939.99</v>
      </c>
      <c r="E3" s="6">
        <v>14.71</v>
      </c>
      <c r="F3" s="6">
        <v>0.93</v>
      </c>
      <c r="G3" s="6">
        <v>3.4</v>
      </c>
      <c r="H3" s="6">
        <v>49</v>
      </c>
      <c r="I3" s="6">
        <v>0.1</v>
      </c>
      <c r="J3" s="6">
        <v>0.7</v>
      </c>
      <c r="K3" s="6">
        <v>2610.9499999999998</v>
      </c>
      <c r="L3" s="2">
        <f t="shared" ref="L3:L60" si="0">SUM(B3:K3)</f>
        <v>4949.9499999999989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2402.15</v>
      </c>
      <c r="C6" s="6">
        <v>19.91</v>
      </c>
      <c r="D6" s="6">
        <v>7556.11</v>
      </c>
      <c r="E6" s="6">
        <v>172.98</v>
      </c>
      <c r="F6" s="6">
        <v>17.96</v>
      </c>
      <c r="G6" s="6">
        <v>3.1</v>
      </c>
      <c r="H6" s="6">
        <v>280.5</v>
      </c>
      <c r="I6" s="6">
        <v>2.4</v>
      </c>
      <c r="J6" s="6">
        <v>9.4</v>
      </c>
      <c r="K6" s="6">
        <v>10305.219999999999</v>
      </c>
      <c r="L6" s="2">
        <f t="shared" si="0"/>
        <v>20769.729999999996</v>
      </c>
    </row>
    <row r="7" spans="1:12" x14ac:dyDescent="0.35">
      <c r="A7" s="5" t="s">
        <v>16</v>
      </c>
      <c r="B7" s="6">
        <v>244.99</v>
      </c>
      <c r="C7" s="6">
        <v>13.07</v>
      </c>
      <c r="D7" s="6">
        <v>2343.58</v>
      </c>
      <c r="E7" s="6">
        <v>28.25</v>
      </c>
      <c r="F7" s="6">
        <v>42.75</v>
      </c>
      <c r="G7" s="6">
        <v>0.3</v>
      </c>
      <c r="H7" s="6">
        <v>52.9</v>
      </c>
      <c r="I7" s="6">
        <v>1.3</v>
      </c>
      <c r="J7" s="6">
        <v>3</v>
      </c>
      <c r="K7" s="6">
        <v>5520.49</v>
      </c>
      <c r="L7" s="2">
        <f t="shared" si="0"/>
        <v>8250.630000000001</v>
      </c>
    </row>
    <row r="8" spans="1:12" x14ac:dyDescent="0.35">
      <c r="A8" s="5" t="s">
        <v>17</v>
      </c>
      <c r="B8" s="6">
        <v>617.44000000000005</v>
      </c>
      <c r="C8" s="6">
        <v>33.01</v>
      </c>
      <c r="D8" s="6">
        <v>8247.6200000000008</v>
      </c>
      <c r="E8" s="6">
        <v>217.71</v>
      </c>
      <c r="F8" s="6">
        <v>7.58</v>
      </c>
      <c r="G8" s="6">
        <v>1.9</v>
      </c>
      <c r="H8" s="6">
        <v>186</v>
      </c>
      <c r="I8" s="6">
        <v>1.8</v>
      </c>
      <c r="J8" s="6">
        <v>2.8</v>
      </c>
      <c r="K8" s="6">
        <v>9085.4500000000007</v>
      </c>
      <c r="L8" s="2">
        <f t="shared" si="0"/>
        <v>18401.309999999998</v>
      </c>
    </row>
    <row r="9" spans="1:12" x14ac:dyDescent="0.35">
      <c r="A9" s="5" t="s">
        <v>18</v>
      </c>
      <c r="B9" s="6">
        <v>2610.08</v>
      </c>
      <c r="C9" s="6">
        <v>9.35</v>
      </c>
      <c r="D9" s="6">
        <v>6301.28</v>
      </c>
      <c r="E9" s="6">
        <v>91.77</v>
      </c>
      <c r="F9" s="6">
        <v>1.76</v>
      </c>
      <c r="G9" s="6">
        <v>2.8</v>
      </c>
      <c r="H9" s="6">
        <v>95.4</v>
      </c>
      <c r="I9" s="6">
        <v>0.6</v>
      </c>
      <c r="J9" s="6">
        <v>1.7</v>
      </c>
      <c r="K9" s="6">
        <v>7546.32</v>
      </c>
      <c r="L9" s="2">
        <f t="shared" si="0"/>
        <v>16661.059999999998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2451.65</v>
      </c>
      <c r="C12" s="6">
        <v>11.8</v>
      </c>
      <c r="D12" s="6">
        <v>7301.62</v>
      </c>
      <c r="E12" s="6">
        <v>111.74</v>
      </c>
      <c r="F12" s="6">
        <v>1.97</v>
      </c>
      <c r="G12" s="6">
        <v>7.5</v>
      </c>
      <c r="H12" s="6">
        <v>185.2</v>
      </c>
      <c r="I12" s="6">
        <v>1.9</v>
      </c>
      <c r="J12" s="6">
        <v>3.8</v>
      </c>
      <c r="K12" s="6">
        <v>11658.38</v>
      </c>
      <c r="L12" s="2">
        <f t="shared" si="0"/>
        <v>21735.559999999998</v>
      </c>
    </row>
    <row r="13" spans="1:12" x14ac:dyDescent="0.35">
      <c r="A13" s="5" t="s">
        <v>22</v>
      </c>
      <c r="B13" s="6">
        <v>4653.51</v>
      </c>
      <c r="C13" s="6">
        <v>5.25</v>
      </c>
      <c r="D13" s="6">
        <v>6824.43</v>
      </c>
      <c r="E13" s="6">
        <v>88.06</v>
      </c>
      <c r="F13" s="6">
        <v>5.65</v>
      </c>
      <c r="G13" s="6">
        <v>3</v>
      </c>
      <c r="H13" s="6">
        <v>93.5</v>
      </c>
      <c r="I13" s="6">
        <v>0.9</v>
      </c>
      <c r="J13" s="6">
        <v>4.3</v>
      </c>
      <c r="K13" s="6">
        <v>14608.45</v>
      </c>
      <c r="L13" s="2">
        <f t="shared" si="0"/>
        <v>26287.05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290.91000000000003</v>
      </c>
      <c r="C16" s="6">
        <v>12.55</v>
      </c>
      <c r="D16" s="6">
        <v>2885.25</v>
      </c>
      <c r="E16" s="6">
        <v>25.62</v>
      </c>
      <c r="F16" s="6">
        <v>0.32</v>
      </c>
      <c r="G16" s="6">
        <v>0.3</v>
      </c>
      <c r="H16" s="6">
        <v>255</v>
      </c>
      <c r="I16" s="6">
        <v>0.1</v>
      </c>
      <c r="J16" s="6">
        <v>2.2000000000000002</v>
      </c>
      <c r="K16" s="6">
        <v>3791.24</v>
      </c>
      <c r="L16" s="2">
        <f t="shared" si="0"/>
        <v>7263.49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1417.79</v>
      </c>
      <c r="C19" s="6">
        <v>14.53</v>
      </c>
      <c r="D19" s="6">
        <v>5425.33</v>
      </c>
      <c r="E19" s="6">
        <v>54.85</v>
      </c>
      <c r="F19" s="6">
        <v>1.73</v>
      </c>
      <c r="G19" s="6">
        <v>1.8</v>
      </c>
      <c r="H19" s="6">
        <v>100.3</v>
      </c>
      <c r="I19" s="6">
        <v>0.1</v>
      </c>
      <c r="J19" s="6">
        <v>1.1000000000000001</v>
      </c>
      <c r="K19" s="6">
        <v>6289.96</v>
      </c>
      <c r="L19" s="2">
        <f t="shared" si="0"/>
        <v>13307.490000000002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821.16</v>
      </c>
      <c r="C22" s="6">
        <v>15.21</v>
      </c>
      <c r="D22" s="6">
        <v>2187.6</v>
      </c>
      <c r="E22" s="6">
        <v>1.1000000000000001</v>
      </c>
      <c r="F22" s="6">
        <v>3.08</v>
      </c>
      <c r="G22" s="6">
        <v>15.4</v>
      </c>
      <c r="H22" s="6">
        <v>29.5</v>
      </c>
      <c r="I22" s="6">
        <v>0.2</v>
      </c>
      <c r="J22" s="6">
        <v>0.2</v>
      </c>
      <c r="K22" s="6">
        <v>4432.1000000000004</v>
      </c>
      <c r="L22" s="2">
        <f t="shared" si="0"/>
        <v>7505.5499999999993</v>
      </c>
    </row>
    <row r="23" spans="1:12" x14ac:dyDescent="0.35">
      <c r="A23" s="5" t="s">
        <v>32</v>
      </c>
      <c r="B23" s="6">
        <v>2383.98</v>
      </c>
      <c r="C23" s="6">
        <v>18.309999999999999</v>
      </c>
      <c r="D23" s="6">
        <v>7748.55</v>
      </c>
      <c r="E23" s="6">
        <v>70.400000000000006</v>
      </c>
      <c r="F23" s="6">
        <v>17.190000000000001</v>
      </c>
      <c r="G23" s="6">
        <v>7.8</v>
      </c>
      <c r="H23" s="6">
        <v>336.2</v>
      </c>
      <c r="I23" s="6">
        <v>1.2</v>
      </c>
      <c r="J23" s="6">
        <v>2.2000000000000002</v>
      </c>
      <c r="K23" s="6">
        <v>6933.3</v>
      </c>
      <c r="L23" s="2">
        <f t="shared" si="0"/>
        <v>17519.13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5984.1</v>
      </c>
      <c r="C31" s="6">
        <v>58.31</v>
      </c>
      <c r="D31" s="6">
        <v>15850.45</v>
      </c>
      <c r="E31" s="6">
        <v>52.86</v>
      </c>
      <c r="F31" s="6">
        <v>22.6</v>
      </c>
      <c r="G31" s="6">
        <v>2</v>
      </c>
      <c r="H31" s="6">
        <v>1481</v>
      </c>
      <c r="I31" s="6">
        <v>0.6</v>
      </c>
      <c r="J31" s="6">
        <v>3.5</v>
      </c>
      <c r="K31" s="6">
        <v>9181.2800000000007</v>
      </c>
      <c r="L31" s="2">
        <f t="shared" si="0"/>
        <v>32636.699999999997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2904.35</v>
      </c>
      <c r="C34" s="6">
        <v>31.36</v>
      </c>
      <c r="D34" s="6">
        <v>10055.84</v>
      </c>
      <c r="E34" s="6">
        <v>691.86</v>
      </c>
      <c r="F34" s="6">
        <v>50.06</v>
      </c>
      <c r="G34" s="6">
        <v>5.3</v>
      </c>
      <c r="H34" s="6">
        <v>454.3</v>
      </c>
      <c r="I34" s="6">
        <v>2.9</v>
      </c>
      <c r="J34" s="6">
        <v>6.9</v>
      </c>
      <c r="K34" s="6">
        <v>7963.83</v>
      </c>
      <c r="L34" s="2">
        <f t="shared" si="0"/>
        <v>22166.699999999997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153.43</v>
      </c>
      <c r="C36" s="6">
        <v>5.47</v>
      </c>
      <c r="D36" s="6">
        <v>1520.47</v>
      </c>
      <c r="E36" s="6">
        <v>15.43</v>
      </c>
      <c r="F36" s="6">
        <v>5.22</v>
      </c>
      <c r="G36" s="6">
        <v>1.5</v>
      </c>
      <c r="H36" s="6">
        <v>39.6</v>
      </c>
      <c r="I36" s="6">
        <v>0</v>
      </c>
      <c r="J36" s="6">
        <v>0</v>
      </c>
      <c r="K36" s="6">
        <v>10467.41</v>
      </c>
      <c r="L36" s="2">
        <f t="shared" si="0"/>
        <v>12208.53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794.75</v>
      </c>
      <c r="C40" s="6">
        <v>5.78</v>
      </c>
      <c r="D40" s="6">
        <v>2048.7800000000002</v>
      </c>
      <c r="E40" s="6">
        <v>20.440000000000001</v>
      </c>
      <c r="F40" s="6">
        <v>0.2</v>
      </c>
      <c r="G40" s="6">
        <v>0.1</v>
      </c>
      <c r="H40" s="6">
        <v>25.3</v>
      </c>
      <c r="I40" s="6">
        <v>0.1</v>
      </c>
      <c r="J40" s="6">
        <v>2.7</v>
      </c>
      <c r="K40" s="6">
        <v>5333.5</v>
      </c>
      <c r="L40" s="2">
        <f t="shared" si="0"/>
        <v>8231.65</v>
      </c>
    </row>
    <row r="41" spans="1:12" x14ac:dyDescent="0.35">
      <c r="A41" s="5" t="s">
        <v>50</v>
      </c>
      <c r="B41" s="6">
        <v>2261.23</v>
      </c>
      <c r="C41" s="6">
        <v>13.78</v>
      </c>
      <c r="D41" s="6">
        <v>9317.08</v>
      </c>
      <c r="E41" s="6">
        <v>78.91</v>
      </c>
      <c r="F41" s="6">
        <v>28.15</v>
      </c>
      <c r="G41" s="6">
        <v>8.9</v>
      </c>
      <c r="H41" s="6">
        <v>212.9</v>
      </c>
      <c r="I41" s="6">
        <v>2.4</v>
      </c>
      <c r="J41" s="6">
        <v>5.9</v>
      </c>
      <c r="K41" s="6">
        <v>13034.87</v>
      </c>
      <c r="L41" s="2">
        <f t="shared" si="0"/>
        <v>24964.12</v>
      </c>
    </row>
    <row r="42" spans="1:12" x14ac:dyDescent="0.35">
      <c r="A42" s="5" t="s">
        <v>51</v>
      </c>
      <c r="B42" s="6">
        <v>2508.81</v>
      </c>
      <c r="C42" s="6">
        <v>23.13</v>
      </c>
      <c r="D42" s="6">
        <v>8184.99</v>
      </c>
      <c r="E42" s="6">
        <v>36.22</v>
      </c>
      <c r="F42" s="6">
        <v>5.94</v>
      </c>
      <c r="G42" s="6">
        <v>1.7</v>
      </c>
      <c r="H42" s="6">
        <v>354.6</v>
      </c>
      <c r="I42" s="6">
        <v>0.4</v>
      </c>
      <c r="J42" s="6">
        <v>5.8</v>
      </c>
      <c r="K42" s="6">
        <v>4795.6099999999997</v>
      </c>
      <c r="L42" s="2">
        <f t="shared" si="0"/>
        <v>15917.2</v>
      </c>
    </row>
    <row r="43" spans="1:12" x14ac:dyDescent="0.35">
      <c r="A43" s="5" t="s">
        <v>52</v>
      </c>
      <c r="B43" s="6">
        <v>753.49</v>
      </c>
      <c r="C43" s="6">
        <v>32.17</v>
      </c>
      <c r="D43" s="6">
        <v>3718.21</v>
      </c>
      <c r="E43" s="6">
        <v>8.52</v>
      </c>
      <c r="F43" s="6">
        <v>0</v>
      </c>
      <c r="G43" s="6">
        <v>0.6</v>
      </c>
      <c r="H43" s="6">
        <v>17.3</v>
      </c>
      <c r="I43" s="6">
        <v>0.1</v>
      </c>
      <c r="J43" s="6">
        <v>0.3</v>
      </c>
      <c r="K43" s="6">
        <v>6250.21</v>
      </c>
      <c r="L43" s="2">
        <f t="shared" si="0"/>
        <v>10780.900000000001</v>
      </c>
    </row>
    <row r="44" spans="1:12" x14ac:dyDescent="0.35">
      <c r="A44" s="5" t="s">
        <v>53</v>
      </c>
      <c r="B44" s="6">
        <v>840.49</v>
      </c>
      <c r="C44" s="6">
        <v>13.72</v>
      </c>
      <c r="D44" s="6">
        <v>5611.22</v>
      </c>
      <c r="E44" s="6">
        <v>15.86</v>
      </c>
      <c r="F44" s="6">
        <v>4.0999999999999996</v>
      </c>
      <c r="G44" s="6">
        <v>1.3</v>
      </c>
      <c r="H44" s="6">
        <v>172.1</v>
      </c>
      <c r="I44" s="6">
        <v>0.4</v>
      </c>
      <c r="J44" s="6">
        <v>2.2999999999999998</v>
      </c>
      <c r="K44" s="6">
        <v>8055.5</v>
      </c>
      <c r="L44" s="2">
        <f t="shared" si="0"/>
        <v>14716.990000000002</v>
      </c>
    </row>
    <row r="45" spans="1:12" x14ac:dyDescent="0.35">
      <c r="A45" s="5" t="s">
        <v>54</v>
      </c>
      <c r="B45" s="6">
        <v>985.28</v>
      </c>
      <c r="C45" s="6">
        <v>4.07</v>
      </c>
      <c r="D45" s="6">
        <v>4783.7700000000004</v>
      </c>
      <c r="E45" s="6">
        <v>39.840000000000003</v>
      </c>
      <c r="F45" s="6">
        <v>0.45</v>
      </c>
      <c r="G45" s="6">
        <v>0</v>
      </c>
      <c r="H45" s="6">
        <v>61.1</v>
      </c>
      <c r="I45" s="6">
        <v>0.4</v>
      </c>
      <c r="J45" s="6">
        <v>0.5</v>
      </c>
      <c r="K45" s="6">
        <v>2152.1999999999998</v>
      </c>
      <c r="L45" s="2">
        <f t="shared" si="0"/>
        <v>8027.6100000000006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300.69</v>
      </c>
      <c r="C48" s="6">
        <v>4.58</v>
      </c>
      <c r="D48" s="6">
        <v>2036.41</v>
      </c>
      <c r="E48" s="6">
        <v>20.63</v>
      </c>
      <c r="F48" s="6">
        <v>2.08</v>
      </c>
      <c r="G48" s="6">
        <v>0.6</v>
      </c>
      <c r="H48" s="6">
        <v>43.5</v>
      </c>
      <c r="I48" s="6">
        <v>0.5</v>
      </c>
      <c r="J48" s="6">
        <v>1.1000000000000001</v>
      </c>
      <c r="K48" s="6">
        <v>4047.53</v>
      </c>
      <c r="L48" s="2">
        <f t="shared" si="0"/>
        <v>6457.6200000000008</v>
      </c>
    </row>
    <row r="49" spans="1:12" x14ac:dyDescent="0.35">
      <c r="A49" s="5" t="s">
        <v>58</v>
      </c>
      <c r="B49" s="6">
        <v>270.08999999999997</v>
      </c>
      <c r="C49" s="6">
        <v>1.93</v>
      </c>
      <c r="D49" s="6">
        <v>1181.75</v>
      </c>
      <c r="E49" s="6">
        <v>6.22</v>
      </c>
      <c r="F49" s="6">
        <v>0</v>
      </c>
      <c r="G49" s="6">
        <v>0.1</v>
      </c>
      <c r="H49" s="6">
        <v>13.9</v>
      </c>
      <c r="I49" s="6">
        <v>0</v>
      </c>
      <c r="J49" s="6">
        <v>0.3</v>
      </c>
      <c r="K49" s="6">
        <v>496.79</v>
      </c>
      <c r="L49" s="2">
        <f t="shared" si="0"/>
        <v>1971.08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2556.39</v>
      </c>
      <c r="C52" s="6">
        <v>25.61</v>
      </c>
      <c r="D52" s="6">
        <v>7887.39</v>
      </c>
      <c r="E52" s="6">
        <v>89.6</v>
      </c>
      <c r="F52" s="6">
        <v>4.76</v>
      </c>
      <c r="G52" s="6">
        <v>3.6</v>
      </c>
      <c r="H52" s="6">
        <v>493.2</v>
      </c>
      <c r="I52" s="6">
        <v>1.9</v>
      </c>
      <c r="J52" s="6">
        <v>3.6</v>
      </c>
      <c r="K52" s="6">
        <v>8574.82</v>
      </c>
      <c r="L52" s="2">
        <f t="shared" si="0"/>
        <v>19640.870000000003</v>
      </c>
    </row>
    <row r="53" spans="1:12" x14ac:dyDescent="0.35">
      <c r="A53" s="5" t="s">
        <v>62</v>
      </c>
      <c r="B53" s="6">
        <v>4047.58</v>
      </c>
      <c r="C53" s="6">
        <v>49.8</v>
      </c>
      <c r="D53" s="6">
        <v>15847.1</v>
      </c>
      <c r="E53" s="6">
        <v>182.98</v>
      </c>
      <c r="F53" s="6">
        <v>24.58</v>
      </c>
      <c r="G53" s="6">
        <v>41.5</v>
      </c>
      <c r="H53" s="6">
        <v>250</v>
      </c>
      <c r="I53" s="6">
        <v>2.5</v>
      </c>
      <c r="J53" s="6">
        <v>15</v>
      </c>
      <c r="K53" s="6">
        <v>62372.7</v>
      </c>
      <c r="L53" s="2">
        <f t="shared" si="0"/>
        <v>82833.739999999991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1042.95</v>
      </c>
      <c r="C58" s="6">
        <v>13.62</v>
      </c>
      <c r="D58" s="6">
        <v>3309.98</v>
      </c>
      <c r="E58" s="6">
        <v>111.19</v>
      </c>
      <c r="F58" s="6">
        <v>4.53</v>
      </c>
      <c r="G58" s="6">
        <v>0.3</v>
      </c>
      <c r="H58" s="6">
        <v>92.5</v>
      </c>
      <c r="I58" s="6">
        <v>1.1000000000000001</v>
      </c>
      <c r="J58" s="6">
        <v>2</v>
      </c>
      <c r="K58" s="6">
        <v>5197.57</v>
      </c>
      <c r="L58" s="2">
        <f t="shared" si="0"/>
        <v>9775.74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45763.18</v>
      </c>
      <c r="C60" s="7">
        <v>471.49</v>
      </c>
      <c r="D60" s="7">
        <v>156703.07</v>
      </c>
      <c r="E60" s="7">
        <v>2330.6999999999998</v>
      </c>
      <c r="F60" s="7">
        <v>263.12</v>
      </c>
      <c r="G60" s="7">
        <v>117.5</v>
      </c>
      <c r="H60" s="7">
        <v>5444.6</v>
      </c>
      <c r="I60" s="7">
        <v>24.5</v>
      </c>
      <c r="J60" s="7">
        <v>84.7</v>
      </c>
      <c r="K60" s="7">
        <v>238936.99</v>
      </c>
      <c r="L60" s="2">
        <f t="shared" si="0"/>
        <v>450139.85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76F2-5BA9-4DA8-9A06-87D189551121}">
  <dimension ref="A1:L60"/>
  <sheetViews>
    <sheetView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11" max="11" width="18.90625" bestFit="1" customWidth="1"/>
    <col min="12" max="12" width="11.453125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1510.9</v>
      </c>
      <c r="C2" s="6">
        <v>15.34</v>
      </c>
      <c r="D2" s="6">
        <v>6250.33</v>
      </c>
      <c r="E2" s="6">
        <v>79.64</v>
      </c>
      <c r="F2" s="6">
        <v>6.36</v>
      </c>
      <c r="G2" s="6">
        <v>3</v>
      </c>
      <c r="H2" s="6">
        <v>83.6</v>
      </c>
      <c r="I2" s="6">
        <v>0.5</v>
      </c>
      <c r="J2" s="6">
        <v>1.8</v>
      </c>
      <c r="K2" s="6">
        <v>3683.12</v>
      </c>
      <c r="L2" s="2">
        <f>SUM(B2:K2)</f>
        <v>11634.59</v>
      </c>
    </row>
    <row r="3" spans="1:12" x14ac:dyDescent="0.35">
      <c r="A3" s="5" t="s">
        <v>12</v>
      </c>
      <c r="B3" s="6">
        <v>200.89</v>
      </c>
      <c r="C3" s="6">
        <v>6.68</v>
      </c>
      <c r="D3" s="6">
        <v>1534.88</v>
      </c>
      <c r="E3" s="6">
        <v>14.07</v>
      </c>
      <c r="F3" s="6">
        <v>0.81</v>
      </c>
      <c r="G3" s="6">
        <v>2.2999999999999998</v>
      </c>
      <c r="H3" s="6">
        <v>34</v>
      </c>
      <c r="I3" s="6">
        <v>0</v>
      </c>
      <c r="J3" s="6">
        <v>0</v>
      </c>
      <c r="K3" s="6">
        <v>1050.54</v>
      </c>
      <c r="L3" s="2">
        <f t="shared" ref="L3:L60" si="0">SUM(B3:K3)</f>
        <v>2844.17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1195.08</v>
      </c>
      <c r="C6" s="6">
        <v>11.25</v>
      </c>
      <c r="D6" s="6">
        <v>6815.48</v>
      </c>
      <c r="E6" s="6">
        <v>125.92</v>
      </c>
      <c r="F6" s="6">
        <v>19.78</v>
      </c>
      <c r="G6" s="6">
        <v>2</v>
      </c>
      <c r="H6" s="6">
        <v>105.4</v>
      </c>
      <c r="I6" s="6">
        <v>1.7</v>
      </c>
      <c r="J6" s="6">
        <v>4.5</v>
      </c>
      <c r="K6" s="6">
        <v>3758.99</v>
      </c>
      <c r="L6" s="2">
        <f t="shared" si="0"/>
        <v>12040.1</v>
      </c>
    </row>
    <row r="7" spans="1:12" x14ac:dyDescent="0.35">
      <c r="A7" s="5" t="s">
        <v>16</v>
      </c>
      <c r="B7" s="6">
        <v>200.53</v>
      </c>
      <c r="C7" s="6">
        <v>4.84</v>
      </c>
      <c r="D7" s="6">
        <v>2128.1799999999998</v>
      </c>
      <c r="E7" s="6">
        <v>27.44</v>
      </c>
      <c r="F7" s="6">
        <v>81.73</v>
      </c>
      <c r="G7" s="6">
        <v>0.9</v>
      </c>
      <c r="H7" s="6">
        <v>62.6</v>
      </c>
      <c r="I7" s="6">
        <v>0.2</v>
      </c>
      <c r="J7" s="6">
        <v>1.6</v>
      </c>
      <c r="K7" s="6">
        <v>5067.09</v>
      </c>
      <c r="L7" s="2">
        <f t="shared" si="0"/>
        <v>7575.11</v>
      </c>
    </row>
    <row r="8" spans="1:12" x14ac:dyDescent="0.35">
      <c r="A8" s="5" t="s">
        <v>17</v>
      </c>
      <c r="B8" s="6">
        <v>690.1</v>
      </c>
      <c r="C8" s="6">
        <v>33.07</v>
      </c>
      <c r="D8" s="6">
        <v>7456.23</v>
      </c>
      <c r="E8" s="6">
        <v>26.7</v>
      </c>
      <c r="F8" s="6">
        <v>21.38</v>
      </c>
      <c r="G8" s="6">
        <v>0.7</v>
      </c>
      <c r="H8" s="6">
        <v>162.30000000000001</v>
      </c>
      <c r="I8" s="6">
        <v>3.8</v>
      </c>
      <c r="J8" s="6">
        <v>1</v>
      </c>
      <c r="K8" s="6">
        <v>5214.78</v>
      </c>
      <c r="L8" s="2">
        <f t="shared" si="0"/>
        <v>13610.059999999998</v>
      </c>
    </row>
    <row r="9" spans="1:12" x14ac:dyDescent="0.35">
      <c r="A9" s="5" t="s">
        <v>18</v>
      </c>
      <c r="B9" s="6">
        <v>2410.5100000000002</v>
      </c>
      <c r="C9" s="6">
        <v>5.15</v>
      </c>
      <c r="D9" s="6">
        <v>5843.99</v>
      </c>
      <c r="E9" s="6">
        <v>39.11</v>
      </c>
      <c r="F9" s="6">
        <v>0.68</v>
      </c>
      <c r="G9" s="6">
        <v>2.1</v>
      </c>
      <c r="H9" s="6">
        <v>62.2</v>
      </c>
      <c r="I9" s="6">
        <v>0.6</v>
      </c>
      <c r="J9" s="6">
        <v>3.7</v>
      </c>
      <c r="K9" s="6">
        <v>6090.23</v>
      </c>
      <c r="L9" s="2">
        <f t="shared" si="0"/>
        <v>14458.270000000002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1568.09</v>
      </c>
      <c r="C12" s="6">
        <v>19.989999999999998</v>
      </c>
      <c r="D12" s="6">
        <v>7202.34</v>
      </c>
      <c r="E12" s="6">
        <v>47.12</v>
      </c>
      <c r="F12" s="6">
        <v>1.62</v>
      </c>
      <c r="G12" s="6">
        <v>3.7</v>
      </c>
      <c r="H12" s="6">
        <v>113.4</v>
      </c>
      <c r="I12" s="6">
        <v>1.1000000000000001</v>
      </c>
      <c r="J12" s="6">
        <v>3.7</v>
      </c>
      <c r="K12" s="6">
        <v>10442.959999999999</v>
      </c>
      <c r="L12" s="2">
        <f t="shared" si="0"/>
        <v>19404.020000000004</v>
      </c>
    </row>
    <row r="13" spans="1:12" x14ac:dyDescent="0.35">
      <c r="A13" s="5" t="s">
        <v>22</v>
      </c>
      <c r="B13" s="6">
        <v>3003.84</v>
      </c>
      <c r="C13" s="6">
        <v>6</v>
      </c>
      <c r="D13" s="6">
        <v>5129.97</v>
      </c>
      <c r="E13" s="6">
        <v>59.62</v>
      </c>
      <c r="F13" s="6">
        <v>22.83</v>
      </c>
      <c r="G13" s="6">
        <v>0.4</v>
      </c>
      <c r="H13" s="6">
        <v>73.8</v>
      </c>
      <c r="I13" s="6">
        <v>0.2</v>
      </c>
      <c r="J13" s="6">
        <v>3.3</v>
      </c>
      <c r="K13" s="6">
        <v>8183.97</v>
      </c>
      <c r="L13" s="2">
        <f t="shared" si="0"/>
        <v>16483.93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269.11</v>
      </c>
      <c r="C16" s="6">
        <v>15.82</v>
      </c>
      <c r="D16" s="6">
        <v>2361.86</v>
      </c>
      <c r="E16" s="6">
        <v>12.08</v>
      </c>
      <c r="F16" s="6">
        <v>2.5299999999999998</v>
      </c>
      <c r="G16" s="6">
        <v>0.3</v>
      </c>
      <c r="H16" s="6">
        <v>57.7</v>
      </c>
      <c r="I16" s="6">
        <v>0.2</v>
      </c>
      <c r="J16" s="6">
        <v>0.9</v>
      </c>
      <c r="K16" s="6">
        <v>1388.55</v>
      </c>
      <c r="L16" s="2">
        <f t="shared" si="0"/>
        <v>4109.05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854.52</v>
      </c>
      <c r="C19" s="6">
        <v>10.07</v>
      </c>
      <c r="D19" s="6">
        <v>3465.82</v>
      </c>
      <c r="E19" s="6">
        <v>22.94</v>
      </c>
      <c r="F19" s="6">
        <v>0</v>
      </c>
      <c r="G19" s="6">
        <v>0.5</v>
      </c>
      <c r="H19" s="6">
        <v>152.30000000000001</v>
      </c>
      <c r="I19" s="6">
        <v>0.1</v>
      </c>
      <c r="J19" s="6">
        <v>0.3</v>
      </c>
      <c r="K19" s="6">
        <v>2784.47</v>
      </c>
      <c r="L19" s="2">
        <f t="shared" si="0"/>
        <v>7291.02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909.22</v>
      </c>
      <c r="C22" s="6">
        <v>5.62</v>
      </c>
      <c r="D22" s="6">
        <v>1785.24</v>
      </c>
      <c r="E22" s="6">
        <v>0.33</v>
      </c>
      <c r="F22" s="6">
        <v>0.41</v>
      </c>
      <c r="G22" s="6">
        <v>14.9</v>
      </c>
      <c r="H22" s="6">
        <v>43.8</v>
      </c>
      <c r="I22" s="6">
        <v>0.2</v>
      </c>
      <c r="J22" s="6">
        <v>0.4</v>
      </c>
      <c r="K22" s="6">
        <v>3450.28</v>
      </c>
      <c r="L22" s="2">
        <f t="shared" si="0"/>
        <v>6210.4</v>
      </c>
    </row>
    <row r="23" spans="1:12" x14ac:dyDescent="0.35">
      <c r="A23" s="5" t="s">
        <v>32</v>
      </c>
      <c r="B23" s="6">
        <v>1749.53</v>
      </c>
      <c r="C23" s="6">
        <v>11.35</v>
      </c>
      <c r="D23" s="6">
        <v>6434.2</v>
      </c>
      <c r="E23" s="6">
        <v>46.37</v>
      </c>
      <c r="F23" s="6">
        <v>7.49</v>
      </c>
      <c r="G23" s="6">
        <v>11</v>
      </c>
      <c r="H23" s="6">
        <v>149.69999999999999</v>
      </c>
      <c r="I23" s="6">
        <v>1.3</v>
      </c>
      <c r="J23" s="6">
        <v>2.2000000000000002</v>
      </c>
      <c r="K23" s="6">
        <v>5146.59</v>
      </c>
      <c r="L23" s="2">
        <f t="shared" si="0"/>
        <v>13559.730000000001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46.97</v>
      </c>
      <c r="C29" s="6">
        <v>0.62</v>
      </c>
      <c r="D29" s="6">
        <v>492.34</v>
      </c>
      <c r="E29" s="6">
        <v>5.81</v>
      </c>
      <c r="F29" s="6">
        <v>0.11</v>
      </c>
      <c r="G29" s="6">
        <v>0.5</v>
      </c>
      <c r="H29" s="6">
        <v>8.4</v>
      </c>
      <c r="I29" s="6">
        <v>0.1</v>
      </c>
      <c r="J29" s="6">
        <v>0.2</v>
      </c>
      <c r="K29" s="6">
        <v>66.97</v>
      </c>
      <c r="L29" s="2">
        <f t="shared" si="0"/>
        <v>622.02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3410.53</v>
      </c>
      <c r="C31" s="6">
        <v>37.72</v>
      </c>
      <c r="D31" s="6">
        <v>12573.91</v>
      </c>
      <c r="E31" s="6">
        <v>39.68</v>
      </c>
      <c r="F31" s="6">
        <v>11.98</v>
      </c>
      <c r="G31" s="6">
        <v>1.6</v>
      </c>
      <c r="H31" s="6">
        <v>604.79999999999995</v>
      </c>
      <c r="I31" s="6">
        <v>0.3</v>
      </c>
      <c r="J31" s="6">
        <v>1.5</v>
      </c>
      <c r="K31" s="6">
        <v>6202.8</v>
      </c>
      <c r="L31" s="2">
        <f t="shared" si="0"/>
        <v>22884.82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1905.05</v>
      </c>
      <c r="C34" s="6">
        <v>38</v>
      </c>
      <c r="D34" s="6">
        <v>8893.91</v>
      </c>
      <c r="E34" s="6">
        <v>199.38</v>
      </c>
      <c r="F34" s="6">
        <v>57.48</v>
      </c>
      <c r="G34" s="6">
        <v>1.6</v>
      </c>
      <c r="H34" s="6">
        <v>501.8</v>
      </c>
      <c r="I34" s="6">
        <v>0.2</v>
      </c>
      <c r="J34" s="6">
        <v>1.6</v>
      </c>
      <c r="K34" s="6">
        <v>3223.49</v>
      </c>
      <c r="L34" s="2">
        <f t="shared" si="0"/>
        <v>14822.509999999998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413.09</v>
      </c>
      <c r="C36" s="6">
        <v>19.8</v>
      </c>
      <c r="D36" s="6">
        <v>4276.09</v>
      </c>
      <c r="E36" s="6">
        <v>50.87</v>
      </c>
      <c r="F36" s="6">
        <v>58.31</v>
      </c>
      <c r="G36" s="6">
        <v>2.4</v>
      </c>
      <c r="H36" s="6">
        <v>153.6</v>
      </c>
      <c r="I36" s="6">
        <v>0.5</v>
      </c>
      <c r="J36" s="6">
        <v>3.4</v>
      </c>
      <c r="K36" s="6">
        <v>16609.189999999999</v>
      </c>
      <c r="L36" s="2">
        <f t="shared" si="0"/>
        <v>21587.25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555.17999999999995</v>
      </c>
      <c r="C40" s="6">
        <v>5.84</v>
      </c>
      <c r="D40" s="6">
        <v>2076.88</v>
      </c>
      <c r="E40" s="6">
        <v>7.86</v>
      </c>
      <c r="F40" s="6">
        <v>0.49</v>
      </c>
      <c r="G40" s="6">
        <v>0.1</v>
      </c>
      <c r="H40" s="6">
        <v>10.6</v>
      </c>
      <c r="I40" s="6">
        <v>0.1</v>
      </c>
      <c r="J40" s="6">
        <v>0</v>
      </c>
      <c r="K40" s="6">
        <v>610.28</v>
      </c>
      <c r="L40" s="2">
        <f t="shared" si="0"/>
        <v>3267.33</v>
      </c>
    </row>
    <row r="41" spans="1:12" x14ac:dyDescent="0.35">
      <c r="A41" s="5" t="s">
        <v>50</v>
      </c>
      <c r="B41" s="6">
        <v>1647.17</v>
      </c>
      <c r="C41" s="6">
        <v>24.66</v>
      </c>
      <c r="D41" s="6">
        <v>8529.48</v>
      </c>
      <c r="E41" s="6">
        <v>68.56</v>
      </c>
      <c r="F41" s="6">
        <v>23.2</v>
      </c>
      <c r="G41" s="6">
        <v>4</v>
      </c>
      <c r="H41" s="6">
        <v>171.1</v>
      </c>
      <c r="I41" s="6">
        <v>0.9</v>
      </c>
      <c r="J41" s="6">
        <v>4.5999999999999996</v>
      </c>
      <c r="K41" s="6">
        <v>11382.44</v>
      </c>
      <c r="L41" s="2">
        <f t="shared" si="0"/>
        <v>21856.11</v>
      </c>
    </row>
    <row r="42" spans="1:12" x14ac:dyDescent="0.35">
      <c r="A42" s="5" t="s">
        <v>51</v>
      </c>
      <c r="B42" s="6">
        <v>1888.41</v>
      </c>
      <c r="C42" s="6">
        <v>11.08</v>
      </c>
      <c r="D42" s="6">
        <v>6661.48</v>
      </c>
      <c r="E42" s="6">
        <v>44.95</v>
      </c>
      <c r="F42" s="6">
        <v>1.75</v>
      </c>
      <c r="G42" s="6">
        <v>2.4</v>
      </c>
      <c r="H42" s="6">
        <v>205.2</v>
      </c>
      <c r="I42" s="6">
        <v>0.1</v>
      </c>
      <c r="J42" s="6">
        <v>1.2</v>
      </c>
      <c r="K42" s="6">
        <v>3525.32</v>
      </c>
      <c r="L42" s="2">
        <f t="shared" si="0"/>
        <v>12341.890000000001</v>
      </c>
    </row>
    <row r="43" spans="1:12" x14ac:dyDescent="0.35">
      <c r="A43" s="5" t="s">
        <v>52</v>
      </c>
      <c r="B43" s="6">
        <v>551.51</v>
      </c>
      <c r="C43" s="6">
        <v>38.909999999999997</v>
      </c>
      <c r="D43" s="6">
        <v>2911.83</v>
      </c>
      <c r="E43" s="6">
        <v>7.76</v>
      </c>
      <c r="F43" s="6">
        <v>0.17</v>
      </c>
      <c r="G43" s="6">
        <v>0.1</v>
      </c>
      <c r="H43" s="6">
        <v>22</v>
      </c>
      <c r="I43" s="6">
        <v>0</v>
      </c>
      <c r="J43" s="6">
        <v>0.1</v>
      </c>
      <c r="K43" s="6">
        <v>6154.1</v>
      </c>
      <c r="L43" s="2">
        <f t="shared" si="0"/>
        <v>9686.48</v>
      </c>
    </row>
    <row r="44" spans="1:12" x14ac:dyDescent="0.35">
      <c r="A44" s="5" t="s">
        <v>53</v>
      </c>
      <c r="B44" s="6">
        <v>610.02</v>
      </c>
      <c r="C44" s="6">
        <v>6.35</v>
      </c>
      <c r="D44" s="6">
        <v>4411.37</v>
      </c>
      <c r="E44" s="6">
        <v>13.93</v>
      </c>
      <c r="F44" s="6">
        <v>7.1</v>
      </c>
      <c r="G44" s="6">
        <v>0.5</v>
      </c>
      <c r="H44" s="6">
        <v>203.8</v>
      </c>
      <c r="I44" s="6">
        <v>0.3</v>
      </c>
      <c r="J44" s="6">
        <v>1.5</v>
      </c>
      <c r="K44" s="6">
        <v>3931.43</v>
      </c>
      <c r="L44" s="2">
        <f t="shared" si="0"/>
        <v>9186.3000000000011</v>
      </c>
    </row>
    <row r="45" spans="1:12" x14ac:dyDescent="0.35">
      <c r="A45" s="5" t="s">
        <v>54</v>
      </c>
      <c r="B45" s="6">
        <v>800.32</v>
      </c>
      <c r="C45" s="6">
        <v>6.18</v>
      </c>
      <c r="D45" s="6">
        <v>3479.55</v>
      </c>
      <c r="E45" s="6">
        <v>13.53</v>
      </c>
      <c r="F45" s="6">
        <v>0.21</v>
      </c>
      <c r="G45" s="6">
        <v>0.6</v>
      </c>
      <c r="H45" s="6">
        <v>74.2</v>
      </c>
      <c r="I45" s="6">
        <v>0.2</v>
      </c>
      <c r="J45" s="6">
        <v>0.6</v>
      </c>
      <c r="K45" s="6">
        <v>2291.0300000000002</v>
      </c>
      <c r="L45" s="2">
        <f t="shared" si="0"/>
        <v>6666.42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589.80999999999995</v>
      </c>
      <c r="C48" s="6">
        <v>10.99</v>
      </c>
      <c r="D48" s="6">
        <v>2912.82</v>
      </c>
      <c r="E48" s="6">
        <v>7.75</v>
      </c>
      <c r="F48" s="6">
        <v>27.43</v>
      </c>
      <c r="G48" s="6">
        <v>0.4</v>
      </c>
      <c r="H48" s="6">
        <v>64.2</v>
      </c>
      <c r="I48" s="6">
        <v>0.2</v>
      </c>
      <c r="J48" s="6">
        <v>1.5</v>
      </c>
      <c r="K48" s="6">
        <v>2085.66</v>
      </c>
      <c r="L48" s="2">
        <f t="shared" si="0"/>
        <v>5700.7599999999993</v>
      </c>
    </row>
    <row r="49" spans="1:12" x14ac:dyDescent="0.35">
      <c r="A49" s="5" t="s">
        <v>58</v>
      </c>
      <c r="B49" s="6">
        <v>73.98</v>
      </c>
      <c r="C49" s="6">
        <v>0.45</v>
      </c>
      <c r="D49" s="6">
        <v>443.7</v>
      </c>
      <c r="E49" s="6">
        <v>1</v>
      </c>
      <c r="F49" s="6">
        <v>0.01</v>
      </c>
      <c r="G49" s="6">
        <v>0.2</v>
      </c>
      <c r="H49" s="6">
        <v>4.5999999999999996</v>
      </c>
      <c r="I49" s="6">
        <v>0</v>
      </c>
      <c r="J49" s="6">
        <v>0</v>
      </c>
      <c r="K49" s="6">
        <v>313.58</v>
      </c>
      <c r="L49" s="2">
        <f t="shared" si="0"/>
        <v>837.52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2689.2</v>
      </c>
      <c r="C52" s="6">
        <v>11.9</v>
      </c>
      <c r="D52" s="6">
        <v>6962.53</v>
      </c>
      <c r="E52" s="6">
        <v>148.28</v>
      </c>
      <c r="F52" s="6">
        <v>2.67</v>
      </c>
      <c r="G52" s="6">
        <v>8.3000000000000007</v>
      </c>
      <c r="H52" s="6">
        <v>481</v>
      </c>
      <c r="I52" s="6">
        <v>0.9</v>
      </c>
      <c r="J52" s="6">
        <v>5.7</v>
      </c>
      <c r="K52" s="6">
        <v>7311.85</v>
      </c>
      <c r="L52" s="2">
        <f t="shared" si="0"/>
        <v>17622.330000000002</v>
      </c>
    </row>
    <row r="53" spans="1:12" x14ac:dyDescent="0.35">
      <c r="A53" s="5" t="s">
        <v>62</v>
      </c>
      <c r="B53" s="6">
        <v>3605.78</v>
      </c>
      <c r="C53" s="6">
        <v>27.73</v>
      </c>
      <c r="D53" s="6">
        <v>15354.23</v>
      </c>
      <c r="E53" s="6">
        <v>84.74</v>
      </c>
      <c r="F53" s="6">
        <v>15.8</v>
      </c>
      <c r="G53" s="6">
        <v>65.3</v>
      </c>
      <c r="H53" s="6">
        <v>221.7</v>
      </c>
      <c r="I53" s="6">
        <v>5.8</v>
      </c>
      <c r="J53" s="6">
        <v>11.6</v>
      </c>
      <c r="K53" s="6">
        <v>49432.31</v>
      </c>
      <c r="L53" s="2">
        <f t="shared" si="0"/>
        <v>68824.989999999991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588.41999999999996</v>
      </c>
      <c r="C58" s="6">
        <v>11.92</v>
      </c>
      <c r="D58" s="6">
        <v>2738.66</v>
      </c>
      <c r="E58" s="6">
        <v>66.38</v>
      </c>
      <c r="F58" s="6">
        <v>69.069999999999993</v>
      </c>
      <c r="G58" s="6">
        <v>0.3</v>
      </c>
      <c r="H58" s="6">
        <v>69.2</v>
      </c>
      <c r="I58" s="6">
        <v>1.4</v>
      </c>
      <c r="J58" s="6">
        <v>1.8</v>
      </c>
      <c r="K58" s="6">
        <v>2419.31</v>
      </c>
      <c r="L58" s="2">
        <f t="shared" si="0"/>
        <v>5966.4600000000009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33937.760000000002</v>
      </c>
      <c r="C60" s="7">
        <v>397.33</v>
      </c>
      <c r="D60" s="7">
        <v>139127.28</v>
      </c>
      <c r="E60" s="7">
        <v>1261.8</v>
      </c>
      <c r="F60" s="7">
        <v>441.41</v>
      </c>
      <c r="G60" s="7">
        <v>130.1</v>
      </c>
      <c r="H60" s="7">
        <v>3897</v>
      </c>
      <c r="I60" s="7">
        <v>20.9</v>
      </c>
      <c r="J60" s="7">
        <v>58.7</v>
      </c>
      <c r="K60" s="7">
        <v>171821.33</v>
      </c>
      <c r="L60" s="2">
        <f t="shared" si="0"/>
        <v>351093.61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0A9-05CF-449F-AE62-11A54677FB86}">
  <dimension ref="A1:L60"/>
  <sheetViews>
    <sheetView workbookViewId="0">
      <selection activeCell="L1" sqref="L1:L1048576"/>
    </sheetView>
  </sheetViews>
  <sheetFormatPr defaultRowHeight="14.5" x14ac:dyDescent="0.35"/>
  <cols>
    <col min="10" max="10" width="15.363281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1815.23</v>
      </c>
      <c r="C2" s="6">
        <v>21.32</v>
      </c>
      <c r="D2" s="6">
        <v>7126.71</v>
      </c>
      <c r="E2" s="6">
        <v>29.43</v>
      </c>
      <c r="F2" s="6">
        <v>8.82</v>
      </c>
      <c r="G2" s="6">
        <v>0.7</v>
      </c>
      <c r="H2" s="6">
        <v>45.4</v>
      </c>
      <c r="I2" s="6">
        <v>0.8</v>
      </c>
      <c r="J2" s="6">
        <v>0.1</v>
      </c>
      <c r="K2" s="6">
        <v>3491.79</v>
      </c>
      <c r="L2" s="2">
        <f>SUM(B2:K2)</f>
        <v>12540.3</v>
      </c>
    </row>
    <row r="3" spans="1:12" x14ac:dyDescent="0.35">
      <c r="A3" s="5" t="s">
        <v>12</v>
      </c>
      <c r="B3" s="6">
        <v>85.11</v>
      </c>
      <c r="C3" s="6">
        <v>1.97</v>
      </c>
      <c r="D3" s="6">
        <v>1530.73</v>
      </c>
      <c r="E3" s="6">
        <v>24.32</v>
      </c>
      <c r="F3" s="6">
        <v>0.03</v>
      </c>
      <c r="G3" s="6">
        <v>4.8</v>
      </c>
      <c r="H3" s="6">
        <v>9.9</v>
      </c>
      <c r="I3" s="6">
        <v>0</v>
      </c>
      <c r="J3" s="6">
        <v>3.7</v>
      </c>
      <c r="K3" s="6">
        <v>764.82</v>
      </c>
      <c r="L3" s="2">
        <f t="shared" ref="L3:L60" si="0">SUM(B3:K3)</f>
        <v>2425.38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1195.29</v>
      </c>
      <c r="C6" s="6">
        <v>13.81</v>
      </c>
      <c r="D6" s="6">
        <v>7622.36</v>
      </c>
      <c r="E6" s="6">
        <v>187.13</v>
      </c>
      <c r="F6" s="6">
        <v>3.82</v>
      </c>
      <c r="G6" s="6">
        <v>3.7</v>
      </c>
      <c r="H6" s="6">
        <v>175.4</v>
      </c>
      <c r="I6" s="6">
        <v>1.3</v>
      </c>
      <c r="J6" s="6">
        <v>1</v>
      </c>
      <c r="K6" s="6">
        <v>4074.09</v>
      </c>
      <c r="L6" s="2">
        <f t="shared" si="0"/>
        <v>13277.899999999998</v>
      </c>
    </row>
    <row r="7" spans="1:12" x14ac:dyDescent="0.35">
      <c r="A7" s="5" t="s">
        <v>16</v>
      </c>
      <c r="B7" s="6">
        <v>195.3</v>
      </c>
      <c r="C7" s="6">
        <v>6.98</v>
      </c>
      <c r="D7" s="6">
        <v>2874.53</v>
      </c>
      <c r="E7" s="6">
        <v>64.27</v>
      </c>
      <c r="F7" s="6">
        <v>130.13</v>
      </c>
      <c r="G7" s="6">
        <v>0.3</v>
      </c>
      <c r="H7" s="6">
        <v>63.7</v>
      </c>
      <c r="I7" s="6">
        <v>2.1</v>
      </c>
      <c r="J7" s="6">
        <v>2.2000000000000002</v>
      </c>
      <c r="K7" s="6">
        <v>5674.23</v>
      </c>
      <c r="L7" s="2">
        <f t="shared" si="0"/>
        <v>9013.74</v>
      </c>
    </row>
    <row r="8" spans="1:12" x14ac:dyDescent="0.35">
      <c r="A8" s="5" t="s">
        <v>17</v>
      </c>
      <c r="B8" s="6">
        <v>968.4</v>
      </c>
      <c r="C8" s="6">
        <v>35.85</v>
      </c>
      <c r="D8" s="6">
        <v>9400.85</v>
      </c>
      <c r="E8" s="6">
        <v>37.58</v>
      </c>
      <c r="F8" s="6">
        <v>13.61</v>
      </c>
      <c r="G8" s="6">
        <v>0.6</v>
      </c>
      <c r="H8" s="6">
        <v>191.6</v>
      </c>
      <c r="I8" s="6">
        <v>1.7</v>
      </c>
      <c r="J8" s="6">
        <v>1.3</v>
      </c>
      <c r="K8" s="6">
        <v>6308.76</v>
      </c>
      <c r="L8" s="2">
        <f t="shared" si="0"/>
        <v>16960.25</v>
      </c>
    </row>
    <row r="9" spans="1:12" x14ac:dyDescent="0.35">
      <c r="A9" s="5" t="s">
        <v>18</v>
      </c>
      <c r="B9" s="6">
        <v>3406.18</v>
      </c>
      <c r="C9" s="6">
        <v>17.09</v>
      </c>
      <c r="D9" s="6">
        <v>6595.86</v>
      </c>
      <c r="E9" s="6">
        <v>42.41</v>
      </c>
      <c r="F9" s="6">
        <v>1.45</v>
      </c>
      <c r="G9" s="6">
        <v>3</v>
      </c>
      <c r="H9" s="6">
        <v>75.400000000000006</v>
      </c>
      <c r="I9" s="6">
        <v>1.8</v>
      </c>
      <c r="J9" s="6">
        <v>12.3</v>
      </c>
      <c r="K9" s="6">
        <v>6774.4</v>
      </c>
      <c r="L9" s="2">
        <f t="shared" si="0"/>
        <v>16929.89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1969.85</v>
      </c>
      <c r="C12" s="6">
        <v>14.91</v>
      </c>
      <c r="D12" s="6">
        <v>7020.68</v>
      </c>
      <c r="E12" s="6">
        <v>74.17</v>
      </c>
      <c r="F12" s="6">
        <v>2.12</v>
      </c>
      <c r="G12" s="6">
        <v>5.4</v>
      </c>
      <c r="H12" s="6">
        <v>94.3</v>
      </c>
      <c r="I12" s="6">
        <v>1.4</v>
      </c>
      <c r="J12" s="6">
        <v>5.9</v>
      </c>
      <c r="K12" s="6">
        <v>12228.31</v>
      </c>
      <c r="L12" s="2">
        <f t="shared" si="0"/>
        <v>21417.040000000001</v>
      </c>
    </row>
    <row r="13" spans="1:12" x14ac:dyDescent="0.35">
      <c r="A13" s="5" t="s">
        <v>22</v>
      </c>
      <c r="B13" s="6">
        <v>2813.43</v>
      </c>
      <c r="C13" s="6">
        <v>9.51</v>
      </c>
      <c r="D13" s="6">
        <v>6170.76</v>
      </c>
      <c r="E13" s="6">
        <v>118.87</v>
      </c>
      <c r="F13" s="6">
        <v>11.95</v>
      </c>
      <c r="G13" s="6">
        <v>0.4</v>
      </c>
      <c r="H13" s="6">
        <v>36.299999999999997</v>
      </c>
      <c r="I13" s="6">
        <v>0.7</v>
      </c>
      <c r="J13" s="6">
        <v>3.2</v>
      </c>
      <c r="K13" s="6">
        <v>10729.8</v>
      </c>
      <c r="L13" s="2">
        <f t="shared" si="0"/>
        <v>19894.920000000002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196.91</v>
      </c>
      <c r="C16" s="6">
        <v>8.3800000000000008</v>
      </c>
      <c r="D16" s="6">
        <v>2190.38</v>
      </c>
      <c r="E16" s="6">
        <v>7.67</v>
      </c>
      <c r="F16" s="6">
        <v>0.62</v>
      </c>
      <c r="G16" s="6">
        <v>0.2</v>
      </c>
      <c r="H16" s="6">
        <v>103.5</v>
      </c>
      <c r="I16" s="6">
        <v>0.3</v>
      </c>
      <c r="J16" s="6">
        <v>0.6</v>
      </c>
      <c r="K16" s="6">
        <v>1535.57</v>
      </c>
      <c r="L16" s="2">
        <f t="shared" si="0"/>
        <v>4044.13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1061.45</v>
      </c>
      <c r="C19" s="6">
        <v>10.48</v>
      </c>
      <c r="D19" s="6">
        <v>5023.7700000000004</v>
      </c>
      <c r="E19" s="6">
        <v>24.6</v>
      </c>
      <c r="F19" s="6">
        <v>0.12</v>
      </c>
      <c r="G19" s="6">
        <v>0.9</v>
      </c>
      <c r="H19" s="6">
        <v>279</v>
      </c>
      <c r="I19" s="6">
        <v>0.1</v>
      </c>
      <c r="J19" s="6">
        <v>1.5</v>
      </c>
      <c r="K19" s="6">
        <v>3429.93</v>
      </c>
      <c r="L19" s="2">
        <f t="shared" si="0"/>
        <v>9831.85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776.95</v>
      </c>
      <c r="C22" s="6">
        <v>6.19</v>
      </c>
      <c r="D22" s="6">
        <v>1747.64</v>
      </c>
      <c r="E22" s="6">
        <v>6.83</v>
      </c>
      <c r="F22" s="6">
        <v>0.32</v>
      </c>
      <c r="G22" s="6">
        <v>10.7</v>
      </c>
      <c r="H22" s="6">
        <v>22.9</v>
      </c>
      <c r="I22" s="6">
        <v>0.4</v>
      </c>
      <c r="J22" s="6">
        <v>1</v>
      </c>
      <c r="K22" s="6">
        <v>5005.32</v>
      </c>
      <c r="L22" s="2">
        <f t="shared" si="0"/>
        <v>7578.25</v>
      </c>
    </row>
    <row r="23" spans="1:12" x14ac:dyDescent="0.35">
      <c r="A23" s="5" t="s">
        <v>32</v>
      </c>
      <c r="B23" s="6">
        <v>2216.0300000000002</v>
      </c>
      <c r="C23" s="6">
        <v>15.3</v>
      </c>
      <c r="D23" s="6">
        <v>7293.52</v>
      </c>
      <c r="E23" s="6">
        <v>72.349999999999994</v>
      </c>
      <c r="F23" s="6">
        <v>15.02</v>
      </c>
      <c r="G23" s="6">
        <v>10.4</v>
      </c>
      <c r="H23" s="6">
        <v>184.5</v>
      </c>
      <c r="I23" s="6">
        <v>1.7</v>
      </c>
      <c r="J23" s="6">
        <v>6.9</v>
      </c>
      <c r="K23" s="6">
        <v>6477.15</v>
      </c>
      <c r="L23" s="2">
        <f t="shared" si="0"/>
        <v>16292.87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937.45</v>
      </c>
      <c r="C29" s="6">
        <v>19.05</v>
      </c>
      <c r="D29" s="6">
        <v>7780.65</v>
      </c>
      <c r="E29" s="6">
        <v>140.19</v>
      </c>
      <c r="F29" s="6">
        <v>10.32</v>
      </c>
      <c r="G29" s="6">
        <v>5.8</v>
      </c>
      <c r="H29" s="6">
        <v>280.10000000000002</v>
      </c>
      <c r="I29" s="6">
        <v>1</v>
      </c>
      <c r="J29" s="6">
        <v>7.2</v>
      </c>
      <c r="K29" s="6">
        <v>2300.46</v>
      </c>
      <c r="L29" s="2">
        <f t="shared" si="0"/>
        <v>11482.220000000001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3893.8</v>
      </c>
      <c r="C31" s="6">
        <v>41.71</v>
      </c>
      <c r="D31" s="6">
        <v>14520.65</v>
      </c>
      <c r="E31" s="6">
        <v>141.37</v>
      </c>
      <c r="F31" s="6">
        <v>3.18</v>
      </c>
      <c r="G31" s="6">
        <v>0.7</v>
      </c>
      <c r="H31" s="6">
        <v>683.3</v>
      </c>
      <c r="I31" s="6">
        <v>1.4</v>
      </c>
      <c r="J31" s="6">
        <v>3.2</v>
      </c>
      <c r="K31" s="6">
        <v>5394.01</v>
      </c>
      <c r="L31" s="2">
        <f t="shared" si="0"/>
        <v>24683.32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2224.42</v>
      </c>
      <c r="C34" s="6">
        <v>27.24</v>
      </c>
      <c r="D34" s="6">
        <v>11660.89</v>
      </c>
      <c r="E34" s="6">
        <v>80.72</v>
      </c>
      <c r="F34" s="6">
        <v>43.5</v>
      </c>
      <c r="G34" s="6">
        <v>1.4</v>
      </c>
      <c r="H34" s="6">
        <v>537.4</v>
      </c>
      <c r="I34" s="6">
        <v>0.5</v>
      </c>
      <c r="J34" s="6">
        <v>2.2000000000000002</v>
      </c>
      <c r="K34" s="6">
        <v>4194.72</v>
      </c>
      <c r="L34" s="2">
        <f t="shared" si="0"/>
        <v>18772.989999999998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523.19000000000005</v>
      </c>
      <c r="C36" s="6">
        <v>57.36</v>
      </c>
      <c r="D36" s="6">
        <v>6669.57</v>
      </c>
      <c r="E36" s="6">
        <v>87.98</v>
      </c>
      <c r="F36" s="6">
        <v>42.42</v>
      </c>
      <c r="G36" s="6">
        <v>1.2</v>
      </c>
      <c r="H36" s="6">
        <v>169.4</v>
      </c>
      <c r="I36" s="6">
        <v>0.8</v>
      </c>
      <c r="J36" s="6">
        <v>1.3</v>
      </c>
      <c r="K36" s="6">
        <v>19545.71</v>
      </c>
      <c r="L36" s="2">
        <f t="shared" si="0"/>
        <v>27098.93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216.41</v>
      </c>
      <c r="C40" s="6">
        <v>5.22</v>
      </c>
      <c r="D40" s="6">
        <v>1208.42</v>
      </c>
      <c r="E40" s="6">
        <v>3.6</v>
      </c>
      <c r="F40" s="6">
        <v>0.36</v>
      </c>
      <c r="G40" s="6">
        <v>0.1</v>
      </c>
      <c r="H40" s="6">
        <v>18.600000000000001</v>
      </c>
      <c r="I40" s="6">
        <v>0.2</v>
      </c>
      <c r="J40" s="6">
        <v>0.4</v>
      </c>
      <c r="K40" s="6">
        <v>538.41</v>
      </c>
      <c r="L40" s="2">
        <f t="shared" si="0"/>
        <v>1991.7199999999998</v>
      </c>
    </row>
    <row r="41" spans="1:12" x14ac:dyDescent="0.35">
      <c r="A41" s="5" t="s">
        <v>50</v>
      </c>
      <c r="B41" s="6">
        <v>1951.62</v>
      </c>
      <c r="C41" s="6">
        <v>26.45</v>
      </c>
      <c r="D41" s="6">
        <v>8335.6</v>
      </c>
      <c r="E41" s="6">
        <v>73.38</v>
      </c>
      <c r="F41" s="6">
        <v>21.91</v>
      </c>
      <c r="G41" s="6">
        <v>3.2</v>
      </c>
      <c r="H41" s="6">
        <v>186.9</v>
      </c>
      <c r="I41" s="6">
        <v>4.4000000000000004</v>
      </c>
      <c r="J41" s="6">
        <v>4.9000000000000004</v>
      </c>
      <c r="K41" s="6">
        <v>14271.72</v>
      </c>
      <c r="L41" s="2">
        <f t="shared" si="0"/>
        <v>24880.079999999998</v>
      </c>
    </row>
    <row r="42" spans="1:12" x14ac:dyDescent="0.35">
      <c r="A42" s="5" t="s">
        <v>51</v>
      </c>
      <c r="B42" s="6">
        <v>2504.15</v>
      </c>
      <c r="C42" s="6">
        <v>14.77</v>
      </c>
      <c r="D42" s="6">
        <v>8282.81</v>
      </c>
      <c r="E42" s="6">
        <v>14.79</v>
      </c>
      <c r="F42" s="6">
        <v>1.5</v>
      </c>
      <c r="G42" s="6">
        <v>1.4</v>
      </c>
      <c r="H42" s="6">
        <v>240.7</v>
      </c>
      <c r="I42" s="6">
        <v>0.1</v>
      </c>
      <c r="J42" s="6">
        <v>0.9</v>
      </c>
      <c r="K42" s="6">
        <v>4485.08</v>
      </c>
      <c r="L42" s="2">
        <f t="shared" si="0"/>
        <v>15546.2</v>
      </c>
    </row>
    <row r="43" spans="1:12" x14ac:dyDescent="0.35">
      <c r="A43" s="5" t="s">
        <v>52</v>
      </c>
      <c r="B43" s="6">
        <v>696.86</v>
      </c>
      <c r="C43" s="6">
        <v>32.17</v>
      </c>
      <c r="D43" s="6">
        <v>3059.27</v>
      </c>
      <c r="E43" s="6">
        <v>8.2799999999999994</v>
      </c>
      <c r="F43" s="6">
        <v>0.85</v>
      </c>
      <c r="G43" s="6">
        <v>0.6</v>
      </c>
      <c r="H43" s="6">
        <v>21.2</v>
      </c>
      <c r="I43" s="6">
        <v>0.3</v>
      </c>
      <c r="J43" s="6">
        <v>0.4</v>
      </c>
      <c r="K43" s="6">
        <v>6988.94</v>
      </c>
      <c r="L43" s="2">
        <f t="shared" si="0"/>
        <v>10808.869999999999</v>
      </c>
    </row>
    <row r="44" spans="1:12" x14ac:dyDescent="0.35">
      <c r="A44" s="5" t="s">
        <v>53</v>
      </c>
      <c r="B44" s="6">
        <v>505.13</v>
      </c>
      <c r="C44" s="6">
        <v>13.13</v>
      </c>
      <c r="D44" s="6">
        <v>5797.17</v>
      </c>
      <c r="E44" s="6">
        <v>4.09</v>
      </c>
      <c r="F44" s="6">
        <v>1.51</v>
      </c>
      <c r="G44" s="6">
        <v>1.1000000000000001</v>
      </c>
      <c r="H44" s="6">
        <v>201.3</v>
      </c>
      <c r="I44" s="6">
        <v>0</v>
      </c>
      <c r="J44" s="6">
        <v>0.4</v>
      </c>
      <c r="K44" s="6">
        <v>4954.3900000000003</v>
      </c>
      <c r="L44" s="2">
        <f t="shared" si="0"/>
        <v>11478.220000000001</v>
      </c>
    </row>
    <row r="45" spans="1:12" x14ac:dyDescent="0.35">
      <c r="A45" s="5" t="s">
        <v>54</v>
      </c>
      <c r="B45" s="6">
        <v>834.98</v>
      </c>
      <c r="C45" s="6">
        <v>6.4</v>
      </c>
      <c r="D45" s="6">
        <v>3337.02</v>
      </c>
      <c r="E45" s="6">
        <v>25.14</v>
      </c>
      <c r="F45" s="6">
        <v>2.23</v>
      </c>
      <c r="G45" s="6">
        <v>0.1</v>
      </c>
      <c r="H45" s="6">
        <v>31.4</v>
      </c>
      <c r="I45" s="6">
        <v>0.1</v>
      </c>
      <c r="J45" s="6">
        <v>0</v>
      </c>
      <c r="K45" s="6">
        <v>2201.5100000000002</v>
      </c>
      <c r="L45" s="2">
        <f t="shared" si="0"/>
        <v>6438.88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650.23</v>
      </c>
      <c r="C48" s="6">
        <v>8.41</v>
      </c>
      <c r="D48" s="6">
        <v>2888.55</v>
      </c>
      <c r="E48" s="6">
        <v>7.77</v>
      </c>
      <c r="F48" s="6">
        <v>31.42</v>
      </c>
      <c r="G48" s="6">
        <v>0.3</v>
      </c>
      <c r="H48" s="6">
        <v>54.4</v>
      </c>
      <c r="I48" s="6">
        <v>1.2</v>
      </c>
      <c r="J48" s="6">
        <v>0.2</v>
      </c>
      <c r="K48" s="6">
        <v>2543.2600000000002</v>
      </c>
      <c r="L48" s="2">
        <f t="shared" si="0"/>
        <v>6185.74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2984.7</v>
      </c>
      <c r="C52" s="6">
        <v>17.34</v>
      </c>
      <c r="D52" s="6">
        <v>8263.86</v>
      </c>
      <c r="E52" s="6">
        <v>108.4</v>
      </c>
      <c r="F52" s="6">
        <v>7.82</v>
      </c>
      <c r="G52" s="6">
        <v>8.3000000000000007</v>
      </c>
      <c r="H52" s="6">
        <v>365.6</v>
      </c>
      <c r="I52" s="6">
        <v>0.5</v>
      </c>
      <c r="J52" s="6">
        <v>4.3</v>
      </c>
      <c r="K52" s="6">
        <v>7644.89</v>
      </c>
      <c r="L52" s="2">
        <f t="shared" si="0"/>
        <v>19405.71</v>
      </c>
    </row>
    <row r="53" spans="1:12" x14ac:dyDescent="0.35">
      <c r="A53" s="5" t="s">
        <v>62</v>
      </c>
      <c r="B53" s="6">
        <v>4264.95</v>
      </c>
      <c r="C53" s="6">
        <v>46.75</v>
      </c>
      <c r="D53" s="6">
        <v>18711.599999999999</v>
      </c>
      <c r="E53" s="6">
        <v>192.57</v>
      </c>
      <c r="F53" s="6">
        <v>42.03</v>
      </c>
      <c r="G53" s="6">
        <v>75.5</v>
      </c>
      <c r="H53" s="6">
        <v>278.3</v>
      </c>
      <c r="I53" s="6">
        <v>7.1</v>
      </c>
      <c r="J53" s="6">
        <v>12.9</v>
      </c>
      <c r="K53" s="6">
        <v>59958.23</v>
      </c>
      <c r="L53" s="2">
        <f t="shared" si="0"/>
        <v>83589.929999999993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529.20000000000005</v>
      </c>
      <c r="C58" s="6">
        <v>19.149999999999999</v>
      </c>
      <c r="D58" s="6">
        <v>3196.3</v>
      </c>
      <c r="E58" s="6">
        <v>88.45</v>
      </c>
      <c r="F58" s="6">
        <v>56.58</v>
      </c>
      <c r="G58" s="6">
        <v>1.3</v>
      </c>
      <c r="H58" s="6">
        <v>118.5</v>
      </c>
      <c r="I58" s="6">
        <v>2.8</v>
      </c>
      <c r="J58" s="6">
        <v>0.2</v>
      </c>
      <c r="K58" s="6">
        <v>3158.43</v>
      </c>
      <c r="L58" s="2">
        <f t="shared" si="0"/>
        <v>7170.91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39417.230000000003</v>
      </c>
      <c r="C60" s="7">
        <v>496.95</v>
      </c>
      <c r="D60" s="7">
        <v>168310.16</v>
      </c>
      <c r="E60" s="7">
        <v>1666.35</v>
      </c>
      <c r="F60" s="7">
        <v>453.65</v>
      </c>
      <c r="G60" s="7">
        <v>142.1</v>
      </c>
      <c r="H60" s="7">
        <v>4469</v>
      </c>
      <c r="I60" s="7">
        <v>32.700000000000003</v>
      </c>
      <c r="J60" s="7">
        <v>78.2</v>
      </c>
      <c r="K60" s="7">
        <v>204673.94</v>
      </c>
      <c r="L60" s="2">
        <f t="shared" si="0"/>
        <v>419740.28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36CF-76BA-4A30-980B-FDDABF4D7079}">
  <dimension ref="A1:L60"/>
  <sheetViews>
    <sheetView topLeftCell="A42" workbookViewId="0">
      <selection activeCell="L2" sqref="L2:L60"/>
    </sheetView>
  </sheetViews>
  <sheetFormatPr defaultRowHeight="14.5" x14ac:dyDescent="0.35"/>
  <cols>
    <col min="3" max="3" width="17.269531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1725.41</v>
      </c>
      <c r="C2" s="6">
        <v>19.71</v>
      </c>
      <c r="D2" s="6">
        <v>5604.46</v>
      </c>
      <c r="E2" s="6">
        <v>52.01</v>
      </c>
      <c r="F2" s="6">
        <v>4.38</v>
      </c>
      <c r="G2" s="6">
        <v>1.2</v>
      </c>
      <c r="H2" s="6">
        <v>67.8</v>
      </c>
      <c r="I2" s="6">
        <v>0.1</v>
      </c>
      <c r="J2" s="6">
        <v>0.6</v>
      </c>
      <c r="K2" s="6">
        <v>4847.99</v>
      </c>
      <c r="L2" s="2">
        <f>SUM(B2:K2)</f>
        <v>12323.66</v>
      </c>
    </row>
    <row r="3" spans="1:12" x14ac:dyDescent="0.35">
      <c r="A3" s="5" t="s">
        <v>12</v>
      </c>
      <c r="B3" s="6">
        <v>144.63999999999999</v>
      </c>
      <c r="C3" s="6">
        <v>5.98</v>
      </c>
      <c r="D3" s="6">
        <v>1239.96</v>
      </c>
      <c r="E3" s="6">
        <v>10.53</v>
      </c>
      <c r="F3" s="6">
        <v>5.28</v>
      </c>
      <c r="G3" s="6">
        <v>1.9</v>
      </c>
      <c r="H3" s="6">
        <v>11.6</v>
      </c>
      <c r="I3" s="6">
        <v>0</v>
      </c>
      <c r="J3" s="6">
        <v>0</v>
      </c>
      <c r="K3" s="6">
        <v>1121.55</v>
      </c>
      <c r="L3" s="2">
        <f t="shared" ref="L3:L60" si="0">SUM(B3:K3)</f>
        <v>2541.4399999999996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1470.12</v>
      </c>
      <c r="C6" s="6">
        <v>23.55</v>
      </c>
      <c r="D6" s="6">
        <v>8208.2900000000009</v>
      </c>
      <c r="E6" s="6">
        <v>152.66999999999999</v>
      </c>
      <c r="F6" s="6">
        <v>5.05</v>
      </c>
      <c r="G6" s="6">
        <v>1.1000000000000001</v>
      </c>
      <c r="H6" s="6">
        <v>110.4</v>
      </c>
      <c r="I6" s="6">
        <v>0.9</v>
      </c>
      <c r="J6" s="6">
        <v>1.5</v>
      </c>
      <c r="K6" s="6">
        <v>4308.79</v>
      </c>
      <c r="L6" s="2">
        <f t="shared" si="0"/>
        <v>14282.369999999999</v>
      </c>
    </row>
    <row r="7" spans="1:12" x14ac:dyDescent="0.35">
      <c r="A7" s="5" t="s">
        <v>16</v>
      </c>
      <c r="B7" s="6">
        <v>191.04</v>
      </c>
      <c r="C7" s="6">
        <v>17.489999999999998</v>
      </c>
      <c r="D7" s="6">
        <v>2375.3200000000002</v>
      </c>
      <c r="E7" s="6">
        <v>45.95</v>
      </c>
      <c r="F7" s="6">
        <v>173.87</v>
      </c>
      <c r="G7" s="6">
        <v>0.9</v>
      </c>
      <c r="H7" s="6">
        <v>57.2</v>
      </c>
      <c r="I7" s="6">
        <v>0.5</v>
      </c>
      <c r="J7" s="6">
        <v>2.2000000000000002</v>
      </c>
      <c r="K7" s="6">
        <v>4463.97</v>
      </c>
      <c r="L7" s="2">
        <f t="shared" si="0"/>
        <v>7328.4400000000005</v>
      </c>
    </row>
    <row r="8" spans="1:12" x14ac:dyDescent="0.35">
      <c r="A8" s="5" t="s">
        <v>17</v>
      </c>
      <c r="B8" s="6">
        <v>738.84</v>
      </c>
      <c r="C8" s="6">
        <v>24.27</v>
      </c>
      <c r="D8" s="6">
        <v>7527.37</v>
      </c>
      <c r="E8" s="6">
        <v>12.96</v>
      </c>
      <c r="F8" s="6">
        <v>1.23</v>
      </c>
      <c r="G8" s="6">
        <v>1</v>
      </c>
      <c r="H8" s="6">
        <v>131.9</v>
      </c>
      <c r="I8" s="6">
        <v>0.6</v>
      </c>
      <c r="J8" s="6">
        <v>3.5</v>
      </c>
      <c r="K8" s="6">
        <v>7461.41</v>
      </c>
      <c r="L8" s="2">
        <f t="shared" si="0"/>
        <v>15903.079999999998</v>
      </c>
    </row>
    <row r="9" spans="1:12" x14ac:dyDescent="0.35">
      <c r="A9" s="5" t="s">
        <v>18</v>
      </c>
      <c r="B9" s="6">
        <v>3018.42</v>
      </c>
      <c r="C9" s="6">
        <v>16.09</v>
      </c>
      <c r="D9" s="6">
        <v>5910.8</v>
      </c>
      <c r="E9" s="6">
        <v>59.69</v>
      </c>
      <c r="F9" s="6">
        <v>2.02</v>
      </c>
      <c r="G9" s="6">
        <v>1.3</v>
      </c>
      <c r="H9" s="6">
        <v>58</v>
      </c>
      <c r="I9" s="6">
        <v>0.3</v>
      </c>
      <c r="J9" s="6">
        <v>1.7</v>
      </c>
      <c r="K9" s="6">
        <v>9015.67</v>
      </c>
      <c r="L9" s="2">
        <f t="shared" si="0"/>
        <v>18083.990000000002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2281.9699999999998</v>
      </c>
      <c r="C12" s="6">
        <v>20.76</v>
      </c>
      <c r="D12" s="6">
        <v>6715.28</v>
      </c>
      <c r="E12" s="6">
        <v>58.97</v>
      </c>
      <c r="F12" s="6">
        <v>1.1200000000000001</v>
      </c>
      <c r="G12" s="6">
        <v>3</v>
      </c>
      <c r="H12" s="6">
        <v>125.3</v>
      </c>
      <c r="I12" s="6">
        <v>2.8</v>
      </c>
      <c r="J12" s="6">
        <v>3.4</v>
      </c>
      <c r="K12" s="6">
        <v>17795.2</v>
      </c>
      <c r="L12" s="2">
        <f t="shared" si="0"/>
        <v>27007.8</v>
      </c>
    </row>
    <row r="13" spans="1:12" x14ac:dyDescent="0.35">
      <c r="A13" s="5" t="s">
        <v>22</v>
      </c>
      <c r="B13" s="6">
        <v>3664.05</v>
      </c>
      <c r="C13" s="6">
        <v>9.9499999999999993</v>
      </c>
      <c r="D13" s="6">
        <v>6877.04</v>
      </c>
      <c r="E13" s="6">
        <v>46.56</v>
      </c>
      <c r="F13" s="6">
        <v>8.25</v>
      </c>
      <c r="G13" s="6">
        <v>0.9</v>
      </c>
      <c r="H13" s="6">
        <v>55.4</v>
      </c>
      <c r="I13" s="6">
        <v>0.4</v>
      </c>
      <c r="J13" s="6">
        <v>8.9</v>
      </c>
      <c r="K13" s="6">
        <v>18490.89</v>
      </c>
      <c r="L13" s="2">
        <f t="shared" si="0"/>
        <v>29162.339999999997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91.44</v>
      </c>
      <c r="C16" s="6">
        <v>2.17</v>
      </c>
      <c r="D16" s="6">
        <v>1890.52</v>
      </c>
      <c r="E16" s="6">
        <v>2.79</v>
      </c>
      <c r="F16" s="6">
        <v>0.44</v>
      </c>
      <c r="G16" s="6">
        <v>1.3</v>
      </c>
      <c r="H16" s="6">
        <v>62.1</v>
      </c>
      <c r="I16" s="6">
        <v>0.1</v>
      </c>
      <c r="J16" s="6">
        <v>0.6</v>
      </c>
      <c r="K16" s="6">
        <v>1096.67</v>
      </c>
      <c r="L16" s="2">
        <f t="shared" si="0"/>
        <v>3148.1299999999997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1690.57</v>
      </c>
      <c r="C19" s="6">
        <v>11.55</v>
      </c>
      <c r="D19" s="6">
        <v>4971.66</v>
      </c>
      <c r="E19" s="6">
        <v>19.11</v>
      </c>
      <c r="F19" s="6">
        <v>0.06</v>
      </c>
      <c r="G19" s="6">
        <v>0.3</v>
      </c>
      <c r="H19" s="6">
        <v>49.3</v>
      </c>
      <c r="I19" s="6">
        <v>0.2</v>
      </c>
      <c r="J19" s="6">
        <v>0.7</v>
      </c>
      <c r="K19" s="6">
        <v>4759.84</v>
      </c>
      <c r="L19" s="2">
        <f t="shared" si="0"/>
        <v>11503.29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933.21</v>
      </c>
      <c r="C22" s="6">
        <v>8.35</v>
      </c>
      <c r="D22" s="6">
        <v>2422.9699999999998</v>
      </c>
      <c r="E22" s="6">
        <v>23.97</v>
      </c>
      <c r="F22" s="6">
        <v>19.190000000000001</v>
      </c>
      <c r="G22" s="6">
        <v>11.9</v>
      </c>
      <c r="H22" s="6">
        <v>24.6</v>
      </c>
      <c r="I22" s="6">
        <v>0.8</v>
      </c>
      <c r="J22" s="6">
        <v>3.7</v>
      </c>
      <c r="K22" s="6">
        <v>6090.2</v>
      </c>
      <c r="L22" s="2">
        <f t="shared" si="0"/>
        <v>9538.89</v>
      </c>
    </row>
    <row r="23" spans="1:12" x14ac:dyDescent="0.35">
      <c r="A23" s="5" t="s">
        <v>32</v>
      </c>
      <c r="B23" s="6">
        <v>2250.0500000000002</v>
      </c>
      <c r="C23" s="6">
        <v>15.88</v>
      </c>
      <c r="D23" s="6">
        <v>7625.45</v>
      </c>
      <c r="E23" s="6">
        <v>52.48</v>
      </c>
      <c r="F23" s="6">
        <v>8.82</v>
      </c>
      <c r="G23" s="6">
        <v>9</v>
      </c>
      <c r="H23" s="6">
        <v>178.1</v>
      </c>
      <c r="I23" s="6">
        <v>0.6</v>
      </c>
      <c r="J23" s="6">
        <v>2.9</v>
      </c>
      <c r="K23" s="6">
        <v>10525.43</v>
      </c>
      <c r="L23" s="2">
        <f t="shared" si="0"/>
        <v>20668.71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1027.97</v>
      </c>
      <c r="C29" s="6">
        <v>18.47</v>
      </c>
      <c r="D29" s="6">
        <v>7240.32</v>
      </c>
      <c r="E29" s="6">
        <v>89.05</v>
      </c>
      <c r="F29" s="6">
        <v>21.6</v>
      </c>
      <c r="G29" s="6">
        <v>2.8</v>
      </c>
      <c r="H29" s="6">
        <v>167.5</v>
      </c>
      <c r="I29" s="6">
        <v>1.5</v>
      </c>
      <c r="J29" s="6">
        <v>1.7</v>
      </c>
      <c r="K29" s="6">
        <v>1516.37</v>
      </c>
      <c r="L29" s="2">
        <f t="shared" si="0"/>
        <v>10087.279999999999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3803</v>
      </c>
      <c r="C31" s="6">
        <v>31.62</v>
      </c>
      <c r="D31" s="6">
        <v>13105.45</v>
      </c>
      <c r="E31" s="6">
        <v>101.2</v>
      </c>
      <c r="F31" s="6">
        <v>0.14000000000000001</v>
      </c>
      <c r="G31" s="6">
        <v>1.4</v>
      </c>
      <c r="H31" s="6">
        <v>739.5</v>
      </c>
      <c r="I31" s="6">
        <v>1.2</v>
      </c>
      <c r="J31" s="6">
        <v>2.8</v>
      </c>
      <c r="K31" s="6">
        <v>8478.4</v>
      </c>
      <c r="L31" s="2">
        <f t="shared" si="0"/>
        <v>26264.71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2234.71</v>
      </c>
      <c r="C34" s="6">
        <v>38.28</v>
      </c>
      <c r="D34" s="6">
        <v>9643.44</v>
      </c>
      <c r="E34" s="6">
        <v>48.01</v>
      </c>
      <c r="F34" s="6">
        <v>16.48</v>
      </c>
      <c r="G34" s="6">
        <v>2.7</v>
      </c>
      <c r="H34" s="6">
        <v>580.20000000000005</v>
      </c>
      <c r="I34" s="6">
        <v>0.2</v>
      </c>
      <c r="J34" s="6">
        <v>8.4</v>
      </c>
      <c r="K34" s="6">
        <v>7308.89</v>
      </c>
      <c r="L34" s="2">
        <f t="shared" si="0"/>
        <v>19881.310000000001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658.36</v>
      </c>
      <c r="C36" s="6">
        <v>57.91</v>
      </c>
      <c r="D36" s="6">
        <v>7968.25</v>
      </c>
      <c r="E36" s="6">
        <v>53.18</v>
      </c>
      <c r="F36" s="6">
        <v>35.04</v>
      </c>
      <c r="G36" s="6">
        <v>2.5</v>
      </c>
      <c r="H36" s="6">
        <v>192.4</v>
      </c>
      <c r="I36" s="6">
        <v>0.9</v>
      </c>
      <c r="J36" s="6">
        <v>3.6</v>
      </c>
      <c r="K36" s="6">
        <v>22877.05</v>
      </c>
      <c r="L36" s="2">
        <f t="shared" si="0"/>
        <v>31849.190000000002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488.28</v>
      </c>
      <c r="C40" s="6">
        <v>20.65</v>
      </c>
      <c r="D40" s="6">
        <v>1964.69</v>
      </c>
      <c r="E40" s="6">
        <v>8.68</v>
      </c>
      <c r="F40" s="6">
        <v>0</v>
      </c>
      <c r="G40" s="6">
        <v>0.1</v>
      </c>
      <c r="H40" s="6">
        <v>26</v>
      </c>
      <c r="I40" s="6">
        <v>0.8</v>
      </c>
      <c r="J40" s="6">
        <v>1</v>
      </c>
      <c r="K40" s="6">
        <v>1407.99</v>
      </c>
      <c r="L40" s="2">
        <f t="shared" si="0"/>
        <v>3918.1899999999996</v>
      </c>
    </row>
    <row r="41" spans="1:12" x14ac:dyDescent="0.35">
      <c r="A41" s="5" t="s">
        <v>50</v>
      </c>
      <c r="B41" s="6">
        <v>1733.1</v>
      </c>
      <c r="C41" s="6">
        <v>23.88</v>
      </c>
      <c r="D41" s="6">
        <v>7748.4</v>
      </c>
      <c r="E41" s="6">
        <v>150.19999999999999</v>
      </c>
      <c r="F41" s="6">
        <v>53.4</v>
      </c>
      <c r="G41" s="6">
        <v>4.8</v>
      </c>
      <c r="H41" s="6">
        <v>156.4</v>
      </c>
      <c r="I41" s="6">
        <v>2.2999999999999998</v>
      </c>
      <c r="J41" s="6">
        <v>4.4000000000000004</v>
      </c>
      <c r="K41" s="6">
        <v>19572.509999999998</v>
      </c>
      <c r="L41" s="2">
        <f t="shared" si="0"/>
        <v>29449.389999999996</v>
      </c>
    </row>
    <row r="42" spans="1:12" x14ac:dyDescent="0.35">
      <c r="A42" s="5" t="s">
        <v>51</v>
      </c>
      <c r="B42" s="6">
        <v>1882.83</v>
      </c>
      <c r="C42" s="6">
        <v>17.2</v>
      </c>
      <c r="D42" s="6">
        <v>6543.66</v>
      </c>
      <c r="E42" s="6">
        <v>7.72</v>
      </c>
      <c r="F42" s="6">
        <v>2.88</v>
      </c>
      <c r="G42" s="6">
        <v>0.2</v>
      </c>
      <c r="H42" s="6">
        <v>131.4</v>
      </c>
      <c r="I42" s="6">
        <v>0.5</v>
      </c>
      <c r="J42" s="6">
        <v>0.5</v>
      </c>
      <c r="K42" s="6">
        <v>6868.98</v>
      </c>
      <c r="L42" s="2">
        <f t="shared" si="0"/>
        <v>15455.869999999999</v>
      </c>
    </row>
    <row r="43" spans="1:12" x14ac:dyDescent="0.35">
      <c r="A43" s="5" t="s">
        <v>52</v>
      </c>
      <c r="B43" s="6">
        <v>718.02</v>
      </c>
      <c r="C43" s="6">
        <v>34.6</v>
      </c>
      <c r="D43" s="6">
        <v>2950.36</v>
      </c>
      <c r="E43" s="6">
        <v>6.7</v>
      </c>
      <c r="F43" s="6">
        <v>0.08</v>
      </c>
      <c r="G43" s="6">
        <v>0.4</v>
      </c>
      <c r="H43" s="6">
        <v>17.3</v>
      </c>
      <c r="I43" s="6">
        <v>0</v>
      </c>
      <c r="J43" s="6">
        <v>0.4</v>
      </c>
      <c r="K43" s="6">
        <v>8985.1299999999992</v>
      </c>
      <c r="L43" s="2">
        <f t="shared" si="0"/>
        <v>12712.99</v>
      </c>
    </row>
    <row r="44" spans="1:12" x14ac:dyDescent="0.35">
      <c r="A44" s="5" t="s">
        <v>53</v>
      </c>
      <c r="B44" s="6">
        <v>606.66999999999996</v>
      </c>
      <c r="C44" s="6">
        <v>11.94</v>
      </c>
      <c r="D44" s="6">
        <v>5172.7</v>
      </c>
      <c r="E44" s="6">
        <v>7.72</v>
      </c>
      <c r="F44" s="6">
        <v>0.56000000000000005</v>
      </c>
      <c r="G44" s="6">
        <v>0.4</v>
      </c>
      <c r="H44" s="6">
        <v>93.4</v>
      </c>
      <c r="I44" s="6">
        <v>0.1</v>
      </c>
      <c r="J44" s="6">
        <v>1.6</v>
      </c>
      <c r="K44" s="6">
        <v>7085.06</v>
      </c>
      <c r="L44" s="2">
        <f t="shared" si="0"/>
        <v>12980.150000000001</v>
      </c>
    </row>
    <row r="45" spans="1:12" x14ac:dyDescent="0.35">
      <c r="A45" s="5" t="s">
        <v>54</v>
      </c>
      <c r="B45" s="6">
        <v>760.92</v>
      </c>
      <c r="C45" s="6">
        <v>14.17</v>
      </c>
      <c r="D45" s="6">
        <v>2477.4699999999998</v>
      </c>
      <c r="E45" s="6">
        <v>8.1999999999999993</v>
      </c>
      <c r="F45" s="6">
        <v>3.98</v>
      </c>
      <c r="G45" s="6">
        <v>0.1</v>
      </c>
      <c r="H45" s="6">
        <v>25.8</v>
      </c>
      <c r="I45" s="6">
        <v>0.1</v>
      </c>
      <c r="J45" s="6">
        <v>0.2</v>
      </c>
      <c r="K45" s="6">
        <v>3379.38</v>
      </c>
      <c r="L45" s="2">
        <f t="shared" si="0"/>
        <v>6670.32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471.37</v>
      </c>
      <c r="C48" s="6">
        <v>5.31</v>
      </c>
      <c r="D48" s="6">
        <v>2603.5</v>
      </c>
      <c r="E48" s="6">
        <v>14.42</v>
      </c>
      <c r="F48" s="6">
        <v>78.95</v>
      </c>
      <c r="G48" s="6">
        <v>0.2</v>
      </c>
      <c r="H48" s="6">
        <v>48.3</v>
      </c>
      <c r="I48" s="6">
        <v>0</v>
      </c>
      <c r="J48" s="6">
        <v>0.9</v>
      </c>
      <c r="K48" s="6">
        <v>2770.39</v>
      </c>
      <c r="L48" s="2">
        <f t="shared" si="0"/>
        <v>5993.34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2508.48</v>
      </c>
      <c r="C52" s="6">
        <v>22.18</v>
      </c>
      <c r="D52" s="6">
        <v>6847.53</v>
      </c>
      <c r="E52" s="6">
        <v>51.12</v>
      </c>
      <c r="F52" s="6">
        <v>0.64</v>
      </c>
      <c r="G52" s="6">
        <v>7.6</v>
      </c>
      <c r="H52" s="6">
        <v>253.9</v>
      </c>
      <c r="I52" s="6">
        <v>1</v>
      </c>
      <c r="J52" s="6">
        <v>5.5</v>
      </c>
      <c r="K52" s="6">
        <v>7011.71</v>
      </c>
      <c r="L52" s="2">
        <f t="shared" si="0"/>
        <v>16709.66</v>
      </c>
    </row>
    <row r="53" spans="1:12" x14ac:dyDescent="0.35">
      <c r="A53" s="5" t="s">
        <v>62</v>
      </c>
      <c r="B53" s="6">
        <v>4114.71</v>
      </c>
      <c r="C53" s="6">
        <v>37.78</v>
      </c>
      <c r="D53" s="6">
        <v>16799.259999999998</v>
      </c>
      <c r="E53" s="6">
        <v>62.35</v>
      </c>
      <c r="F53" s="6">
        <v>5.38</v>
      </c>
      <c r="G53" s="6">
        <v>48.6</v>
      </c>
      <c r="H53" s="6">
        <v>167.7</v>
      </c>
      <c r="I53" s="6">
        <v>1.1000000000000001</v>
      </c>
      <c r="J53" s="6">
        <v>17.2</v>
      </c>
      <c r="K53" s="6">
        <v>64405.1</v>
      </c>
      <c r="L53" s="2">
        <f t="shared" si="0"/>
        <v>85659.18</v>
      </c>
    </row>
    <row r="54" spans="1:12" x14ac:dyDescent="0.35">
      <c r="A54" s="5" t="s">
        <v>63</v>
      </c>
      <c r="B54" s="6">
        <v>150.9</v>
      </c>
      <c r="C54" s="6">
        <v>6.66</v>
      </c>
      <c r="D54" s="6">
        <v>3789.68</v>
      </c>
      <c r="E54" s="6">
        <v>8.52</v>
      </c>
      <c r="F54" s="6">
        <v>8.9499999999999993</v>
      </c>
      <c r="G54" s="6">
        <v>0.6</v>
      </c>
      <c r="H54" s="6">
        <v>221.6</v>
      </c>
      <c r="I54" s="6">
        <v>0.1</v>
      </c>
      <c r="J54" s="6">
        <v>2</v>
      </c>
      <c r="K54" s="6">
        <v>10014.790000000001</v>
      </c>
      <c r="L54" s="2">
        <f t="shared" si="0"/>
        <v>14203.800000000001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648.29</v>
      </c>
      <c r="C58" s="6">
        <v>10.17</v>
      </c>
      <c r="D58" s="6">
        <v>2685.55</v>
      </c>
      <c r="E58" s="6">
        <v>90.47</v>
      </c>
      <c r="F58" s="6">
        <v>6.13</v>
      </c>
      <c r="G58" s="6">
        <v>0.2</v>
      </c>
      <c r="H58" s="6">
        <v>32.1</v>
      </c>
      <c r="I58" s="6">
        <v>1.4</v>
      </c>
      <c r="J58" s="6">
        <v>2.2000000000000002</v>
      </c>
      <c r="K58" s="6">
        <v>3681.72</v>
      </c>
      <c r="L58" s="2">
        <f t="shared" si="0"/>
        <v>7158.23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40007.379999999997</v>
      </c>
      <c r="C60" s="7">
        <v>526.57000000000005</v>
      </c>
      <c r="D60" s="7">
        <v>158909.39000000001</v>
      </c>
      <c r="E60" s="7">
        <v>1245.22</v>
      </c>
      <c r="F60" s="7">
        <v>463.92</v>
      </c>
      <c r="G60" s="7">
        <v>106.4</v>
      </c>
      <c r="H60" s="7">
        <v>3785.2</v>
      </c>
      <c r="I60" s="7">
        <v>18.5</v>
      </c>
      <c r="J60" s="7">
        <v>82.1</v>
      </c>
      <c r="K60" s="7">
        <v>265341.11</v>
      </c>
      <c r="L60" s="2">
        <f t="shared" si="0"/>
        <v>470485.79000000004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7223-7155-43A7-AE2F-D7AE21F32CC2}">
  <dimension ref="A1:L60"/>
  <sheetViews>
    <sheetView topLeftCell="F48" workbookViewId="0">
      <selection activeCell="L60" sqref="L60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9" max="9" width="19.5429687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69</v>
      </c>
    </row>
    <row r="2" spans="1:12" x14ac:dyDescent="0.35">
      <c r="A2" s="5" t="s">
        <v>11</v>
      </c>
      <c r="B2" s="6">
        <v>2733.27</v>
      </c>
      <c r="C2" s="6">
        <v>17.62</v>
      </c>
      <c r="D2" s="6">
        <v>7252.76</v>
      </c>
      <c r="E2" s="6">
        <v>33.630000000000003</v>
      </c>
      <c r="F2" s="6">
        <v>11.71</v>
      </c>
      <c r="G2" s="6">
        <v>0.9</v>
      </c>
      <c r="H2" s="6">
        <v>108.6</v>
      </c>
      <c r="I2" s="6">
        <v>0.4</v>
      </c>
      <c r="J2" s="6">
        <v>3.3</v>
      </c>
      <c r="K2" s="6">
        <v>7073.51</v>
      </c>
      <c r="L2" s="2">
        <f>SUM(B2:K2)</f>
        <v>17235.699999999997</v>
      </c>
    </row>
    <row r="3" spans="1:12" x14ac:dyDescent="0.35">
      <c r="A3" s="5" t="s">
        <v>12</v>
      </c>
      <c r="B3" s="6">
        <v>228.65</v>
      </c>
      <c r="C3" s="6">
        <v>3.95</v>
      </c>
      <c r="D3" s="6">
        <v>1740.83</v>
      </c>
      <c r="E3" s="6">
        <v>2.82</v>
      </c>
      <c r="F3" s="6">
        <v>0.13</v>
      </c>
      <c r="G3" s="6">
        <v>1.9</v>
      </c>
      <c r="H3" s="6">
        <v>17.899999999999999</v>
      </c>
      <c r="I3" s="6">
        <v>0</v>
      </c>
      <c r="J3" s="6">
        <v>1.6</v>
      </c>
      <c r="K3" s="6">
        <v>1961.92</v>
      </c>
      <c r="L3" s="2">
        <f t="shared" ref="L3:L60" si="0">SUM(B3:K3)</f>
        <v>3959.7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2910.7</v>
      </c>
      <c r="C6" s="6">
        <v>18.32</v>
      </c>
      <c r="D6" s="6">
        <v>8292.2900000000009</v>
      </c>
      <c r="E6" s="6">
        <v>111.32</v>
      </c>
      <c r="F6" s="6">
        <v>1</v>
      </c>
      <c r="G6" s="6">
        <v>2</v>
      </c>
      <c r="H6" s="6">
        <v>248.7</v>
      </c>
      <c r="I6" s="6">
        <v>1.2</v>
      </c>
      <c r="J6" s="6">
        <v>5.9</v>
      </c>
      <c r="K6" s="6">
        <v>6141.87</v>
      </c>
      <c r="L6" s="2">
        <f t="shared" si="0"/>
        <v>17733.300000000003</v>
      </c>
    </row>
    <row r="7" spans="1:12" x14ac:dyDescent="0.35">
      <c r="A7" s="5" t="s">
        <v>16</v>
      </c>
      <c r="B7" s="6">
        <v>202.14</v>
      </c>
      <c r="C7" s="6">
        <v>6.15</v>
      </c>
      <c r="D7" s="6">
        <v>3026.23</v>
      </c>
      <c r="E7" s="6">
        <v>70.040000000000006</v>
      </c>
      <c r="F7" s="6">
        <v>93.45</v>
      </c>
      <c r="G7" s="6">
        <v>1.1000000000000001</v>
      </c>
      <c r="H7" s="6">
        <v>52.2</v>
      </c>
      <c r="I7" s="6">
        <v>0.8</v>
      </c>
      <c r="J7" s="6">
        <v>16.5</v>
      </c>
      <c r="K7" s="6">
        <v>4376.12</v>
      </c>
      <c r="L7" s="2">
        <f t="shared" si="0"/>
        <v>7844.73</v>
      </c>
    </row>
    <row r="8" spans="1:12" x14ac:dyDescent="0.35">
      <c r="A8" s="5" t="s">
        <v>17</v>
      </c>
      <c r="B8" s="6">
        <v>992.25</v>
      </c>
      <c r="C8" s="6">
        <v>16.5</v>
      </c>
      <c r="D8" s="6">
        <v>7945</v>
      </c>
      <c r="E8" s="6">
        <v>6.61</v>
      </c>
      <c r="F8" s="6">
        <v>1.39</v>
      </c>
      <c r="G8" s="6">
        <v>0.5</v>
      </c>
      <c r="H8" s="6">
        <v>82.7</v>
      </c>
      <c r="I8" s="6">
        <v>0.1</v>
      </c>
      <c r="J8" s="6">
        <v>0</v>
      </c>
      <c r="K8" s="6">
        <v>4223.3100000000004</v>
      </c>
      <c r="L8" s="2">
        <f t="shared" si="0"/>
        <v>13268.36</v>
      </c>
    </row>
    <row r="9" spans="1:12" x14ac:dyDescent="0.35">
      <c r="A9" s="5" t="s">
        <v>18</v>
      </c>
      <c r="B9" s="6">
        <v>4044.37</v>
      </c>
      <c r="C9" s="6">
        <v>17.07</v>
      </c>
      <c r="D9" s="6">
        <v>6701.06</v>
      </c>
      <c r="E9" s="6">
        <v>142.12</v>
      </c>
      <c r="F9" s="6">
        <v>7.79</v>
      </c>
      <c r="G9" s="6">
        <v>3.4</v>
      </c>
      <c r="H9" s="6">
        <v>91.7</v>
      </c>
      <c r="I9" s="6">
        <v>3.4</v>
      </c>
      <c r="J9" s="6">
        <v>6.1</v>
      </c>
      <c r="K9" s="6">
        <v>11282.7</v>
      </c>
      <c r="L9" s="2">
        <f t="shared" si="0"/>
        <v>22299.710000000003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2667.78</v>
      </c>
      <c r="C12" s="6">
        <v>35.4</v>
      </c>
      <c r="D12" s="6">
        <v>7574.99</v>
      </c>
      <c r="E12" s="6">
        <v>43.29</v>
      </c>
      <c r="F12" s="6">
        <v>2.29</v>
      </c>
      <c r="G12" s="6">
        <v>11.3</v>
      </c>
      <c r="H12" s="6">
        <v>93.1</v>
      </c>
      <c r="I12" s="6">
        <v>0.3</v>
      </c>
      <c r="J12" s="6">
        <v>6.9</v>
      </c>
      <c r="K12" s="6">
        <v>18934.03</v>
      </c>
      <c r="L12" s="2">
        <f t="shared" si="0"/>
        <v>29369.379999999997</v>
      </c>
    </row>
    <row r="13" spans="1:12" x14ac:dyDescent="0.35">
      <c r="A13" s="5" t="s">
        <v>22</v>
      </c>
      <c r="B13" s="6">
        <v>3400.44</v>
      </c>
      <c r="C13" s="6">
        <v>13</v>
      </c>
      <c r="D13" s="6">
        <v>7727.1</v>
      </c>
      <c r="E13" s="6">
        <v>18.98</v>
      </c>
      <c r="F13" s="6">
        <v>6.1</v>
      </c>
      <c r="G13" s="6">
        <v>1</v>
      </c>
      <c r="H13" s="6">
        <v>88.5</v>
      </c>
      <c r="I13" s="6">
        <v>1.1000000000000001</v>
      </c>
      <c r="J13" s="6">
        <v>5.0999999999999996</v>
      </c>
      <c r="K13" s="6">
        <v>18526.080000000002</v>
      </c>
      <c r="L13" s="2">
        <f t="shared" si="0"/>
        <v>29787.4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129.30000000000001</v>
      </c>
      <c r="C16" s="6">
        <v>6.71</v>
      </c>
      <c r="D16" s="6">
        <v>2341.33</v>
      </c>
      <c r="E16" s="6">
        <v>3.16</v>
      </c>
      <c r="F16" s="6">
        <v>0.12</v>
      </c>
      <c r="G16" s="6">
        <v>0</v>
      </c>
      <c r="H16" s="6">
        <v>89.4</v>
      </c>
      <c r="I16" s="6">
        <v>0</v>
      </c>
      <c r="J16" s="6">
        <v>1.8</v>
      </c>
      <c r="K16" s="6">
        <v>1653.77</v>
      </c>
      <c r="L16" s="2">
        <f t="shared" si="0"/>
        <v>4225.59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1829.29</v>
      </c>
      <c r="C19" s="6">
        <v>10.1</v>
      </c>
      <c r="D19" s="6">
        <v>4856.57</v>
      </c>
      <c r="E19" s="6">
        <v>30.49</v>
      </c>
      <c r="F19" s="6">
        <v>0.25</v>
      </c>
      <c r="G19" s="6">
        <v>0.7</v>
      </c>
      <c r="H19" s="6">
        <v>117.2</v>
      </c>
      <c r="I19" s="6">
        <v>0.6</v>
      </c>
      <c r="J19" s="6">
        <v>0.2</v>
      </c>
      <c r="K19" s="6">
        <v>5588.94</v>
      </c>
      <c r="L19" s="2">
        <f t="shared" si="0"/>
        <v>12434.339999999998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945.89</v>
      </c>
      <c r="C22" s="6">
        <v>3.14</v>
      </c>
      <c r="D22" s="6">
        <v>1854.38</v>
      </c>
      <c r="E22" s="6">
        <v>1.07</v>
      </c>
      <c r="F22" s="6">
        <v>0</v>
      </c>
      <c r="G22" s="6">
        <v>10.8</v>
      </c>
      <c r="H22" s="6">
        <v>24.5</v>
      </c>
      <c r="I22" s="6">
        <v>0</v>
      </c>
      <c r="J22" s="6">
        <v>0.1</v>
      </c>
      <c r="K22" s="6">
        <v>7300.02</v>
      </c>
      <c r="L22" s="2">
        <f t="shared" si="0"/>
        <v>10139.900000000001</v>
      </c>
    </row>
    <row r="23" spans="1:12" x14ac:dyDescent="0.35">
      <c r="A23" s="5" t="s">
        <v>32</v>
      </c>
      <c r="B23" s="6">
        <v>2447.56</v>
      </c>
      <c r="C23" s="6">
        <v>16.850000000000001</v>
      </c>
      <c r="D23" s="6">
        <v>7974.31</v>
      </c>
      <c r="E23" s="6">
        <v>14.94</v>
      </c>
      <c r="F23" s="6">
        <v>5.08</v>
      </c>
      <c r="G23" s="6">
        <v>7.2</v>
      </c>
      <c r="H23" s="6">
        <v>179.7</v>
      </c>
      <c r="I23" s="6">
        <v>0.1</v>
      </c>
      <c r="J23" s="6">
        <v>3.9</v>
      </c>
      <c r="K23" s="6">
        <v>12241.43</v>
      </c>
      <c r="L23" s="2">
        <f t="shared" si="0"/>
        <v>22891.070000000003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1615.57</v>
      </c>
      <c r="C29" s="6">
        <v>28.69</v>
      </c>
      <c r="D29" s="6">
        <v>8503.0300000000007</v>
      </c>
      <c r="E29" s="6">
        <v>44.75</v>
      </c>
      <c r="F29" s="6">
        <v>1.57</v>
      </c>
      <c r="G29" s="6">
        <v>3.5</v>
      </c>
      <c r="H29" s="6">
        <v>163.4</v>
      </c>
      <c r="I29" s="6">
        <v>0.9</v>
      </c>
      <c r="J29" s="6">
        <v>3.8</v>
      </c>
      <c r="K29" s="6">
        <v>2544.87</v>
      </c>
      <c r="L29" s="2">
        <f t="shared" si="0"/>
        <v>12910.079999999998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4197.12</v>
      </c>
      <c r="C31" s="6">
        <v>37.1</v>
      </c>
      <c r="D31" s="6">
        <v>13551.66</v>
      </c>
      <c r="E31" s="6">
        <v>60.4</v>
      </c>
      <c r="F31" s="6">
        <v>1.32</v>
      </c>
      <c r="G31" s="6">
        <v>1.4</v>
      </c>
      <c r="H31" s="6">
        <v>928.4</v>
      </c>
      <c r="I31" s="6">
        <v>0.8</v>
      </c>
      <c r="J31" s="6">
        <v>2.2999999999999998</v>
      </c>
      <c r="K31" s="6">
        <v>8472.4</v>
      </c>
      <c r="L31" s="2">
        <f t="shared" si="0"/>
        <v>27252.9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2353.9299999999998</v>
      </c>
      <c r="C34" s="6">
        <v>30.09</v>
      </c>
      <c r="D34" s="6">
        <v>10181.73</v>
      </c>
      <c r="E34" s="6">
        <v>55.66</v>
      </c>
      <c r="F34" s="6">
        <v>3.14</v>
      </c>
      <c r="G34" s="6">
        <v>2.4</v>
      </c>
      <c r="H34" s="6">
        <v>521.79999999999995</v>
      </c>
      <c r="I34" s="6">
        <v>0.1</v>
      </c>
      <c r="J34" s="6">
        <v>13.1</v>
      </c>
      <c r="K34" s="6">
        <v>7518.26</v>
      </c>
      <c r="L34" s="2">
        <f t="shared" si="0"/>
        <v>20680.21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820.62</v>
      </c>
      <c r="C36" s="6">
        <v>94.8</v>
      </c>
      <c r="D36" s="6">
        <v>10245.14</v>
      </c>
      <c r="E36" s="6">
        <v>51.26</v>
      </c>
      <c r="F36" s="6">
        <v>20.309999999999999</v>
      </c>
      <c r="G36" s="6">
        <v>6.2</v>
      </c>
      <c r="H36" s="6">
        <v>251.3</v>
      </c>
      <c r="I36" s="6">
        <v>1.6</v>
      </c>
      <c r="J36" s="6">
        <v>8</v>
      </c>
      <c r="K36" s="6">
        <v>26182.94</v>
      </c>
      <c r="L36" s="2">
        <f t="shared" si="0"/>
        <v>37682.17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266.18</v>
      </c>
      <c r="C40" s="6">
        <v>4.3600000000000003</v>
      </c>
      <c r="D40" s="6">
        <v>1554.38</v>
      </c>
      <c r="E40" s="6">
        <v>6.72</v>
      </c>
      <c r="F40" s="6">
        <v>0.45</v>
      </c>
      <c r="G40" s="6">
        <v>0.1</v>
      </c>
      <c r="H40" s="6">
        <v>59.6</v>
      </c>
      <c r="I40" s="6">
        <v>0</v>
      </c>
      <c r="J40" s="6">
        <v>2.1</v>
      </c>
      <c r="K40" s="6">
        <v>1197.9100000000001</v>
      </c>
      <c r="L40" s="2">
        <f t="shared" si="0"/>
        <v>3091.8</v>
      </c>
    </row>
    <row r="41" spans="1:12" x14ac:dyDescent="0.35">
      <c r="A41" s="5" t="s">
        <v>50</v>
      </c>
      <c r="B41" s="6">
        <v>2114.5300000000002</v>
      </c>
      <c r="C41" s="6">
        <v>23.68</v>
      </c>
      <c r="D41" s="6">
        <v>8407.83</v>
      </c>
      <c r="E41" s="6">
        <v>32.51</v>
      </c>
      <c r="F41" s="6">
        <v>47.28</v>
      </c>
      <c r="G41" s="6">
        <v>3.1</v>
      </c>
      <c r="H41" s="6">
        <v>223.4</v>
      </c>
      <c r="I41" s="6">
        <v>0.6</v>
      </c>
      <c r="J41" s="6">
        <v>10.1</v>
      </c>
      <c r="K41" s="6">
        <v>21913.040000000001</v>
      </c>
      <c r="L41" s="2">
        <f t="shared" si="0"/>
        <v>32776.070000000007</v>
      </c>
    </row>
    <row r="42" spans="1:12" x14ac:dyDescent="0.35">
      <c r="A42" s="5" t="s">
        <v>51</v>
      </c>
      <c r="B42" s="6">
        <v>1779.49</v>
      </c>
      <c r="C42" s="6">
        <v>9.92</v>
      </c>
      <c r="D42" s="6">
        <v>7099.09</v>
      </c>
      <c r="E42" s="6">
        <v>9.93</v>
      </c>
      <c r="F42" s="6">
        <v>8</v>
      </c>
      <c r="G42" s="6">
        <v>0.4</v>
      </c>
      <c r="H42" s="6">
        <v>181.9</v>
      </c>
      <c r="I42" s="6">
        <v>0.2</v>
      </c>
      <c r="J42" s="6">
        <v>3.1</v>
      </c>
      <c r="K42" s="6">
        <v>6248.33</v>
      </c>
      <c r="L42" s="2">
        <f t="shared" si="0"/>
        <v>15340.36</v>
      </c>
    </row>
    <row r="43" spans="1:12" x14ac:dyDescent="0.35">
      <c r="A43" s="5" t="s">
        <v>52</v>
      </c>
      <c r="B43" s="6">
        <v>770.25</v>
      </c>
      <c r="C43" s="6">
        <v>48.37</v>
      </c>
      <c r="D43" s="6">
        <v>3412.25</v>
      </c>
      <c r="E43" s="6">
        <v>8.7799999999999994</v>
      </c>
      <c r="F43" s="6">
        <v>0.3</v>
      </c>
      <c r="G43" s="6">
        <v>0.3</v>
      </c>
      <c r="H43" s="6">
        <v>19.5</v>
      </c>
      <c r="I43" s="6">
        <v>0</v>
      </c>
      <c r="J43" s="6">
        <v>2.6</v>
      </c>
      <c r="K43" s="6">
        <v>10386.83</v>
      </c>
      <c r="L43" s="2">
        <f t="shared" si="0"/>
        <v>14649.18</v>
      </c>
    </row>
    <row r="44" spans="1:12" x14ac:dyDescent="0.35">
      <c r="A44" s="5" t="s">
        <v>53</v>
      </c>
      <c r="B44" s="6">
        <v>884.58</v>
      </c>
      <c r="C44" s="6">
        <v>13.59</v>
      </c>
      <c r="D44" s="6">
        <v>6681.73</v>
      </c>
      <c r="E44" s="6">
        <v>6.22</v>
      </c>
      <c r="F44" s="6">
        <v>0.62</v>
      </c>
      <c r="G44" s="6">
        <v>0.3</v>
      </c>
      <c r="H44" s="6">
        <v>150.4</v>
      </c>
      <c r="I44" s="6">
        <v>0</v>
      </c>
      <c r="J44" s="6">
        <v>2.9</v>
      </c>
      <c r="K44" s="6">
        <v>9964.0400000000009</v>
      </c>
      <c r="L44" s="2">
        <f t="shared" si="0"/>
        <v>17704.38</v>
      </c>
    </row>
    <row r="45" spans="1:12" x14ac:dyDescent="0.35">
      <c r="A45" s="5" t="s">
        <v>54</v>
      </c>
      <c r="B45" s="6">
        <v>826.54</v>
      </c>
      <c r="C45" s="6">
        <v>13.96</v>
      </c>
      <c r="D45" s="6">
        <v>3305.43</v>
      </c>
      <c r="E45" s="6">
        <v>17.39</v>
      </c>
      <c r="F45" s="6">
        <v>0.34</v>
      </c>
      <c r="G45" s="6">
        <v>0.2</v>
      </c>
      <c r="H45" s="6">
        <v>149.80000000000001</v>
      </c>
      <c r="I45" s="6">
        <v>0.1</v>
      </c>
      <c r="J45" s="6">
        <v>0</v>
      </c>
      <c r="K45" s="6">
        <v>2653.13</v>
      </c>
      <c r="L45" s="2">
        <f t="shared" si="0"/>
        <v>6966.8900000000012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492.07</v>
      </c>
      <c r="C48" s="6">
        <v>10.44</v>
      </c>
      <c r="D48" s="6">
        <v>2628.47</v>
      </c>
      <c r="E48" s="6">
        <v>17.48</v>
      </c>
      <c r="F48" s="6">
        <v>6.29</v>
      </c>
      <c r="G48" s="6">
        <v>0</v>
      </c>
      <c r="H48" s="6">
        <v>31.3</v>
      </c>
      <c r="I48" s="6">
        <v>0.1</v>
      </c>
      <c r="J48" s="6">
        <v>1.3</v>
      </c>
      <c r="K48" s="6">
        <v>2126.33</v>
      </c>
      <c r="L48" s="2">
        <f t="shared" si="0"/>
        <v>5313.78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3219.24</v>
      </c>
      <c r="C52" s="6">
        <v>19.62</v>
      </c>
      <c r="D52" s="6">
        <v>8257.7199999999993</v>
      </c>
      <c r="E52" s="6">
        <v>73.38</v>
      </c>
      <c r="F52" s="6">
        <v>0.6</v>
      </c>
      <c r="G52" s="6">
        <v>7</v>
      </c>
      <c r="H52" s="6">
        <v>274.39999999999998</v>
      </c>
      <c r="I52" s="6">
        <v>0.5</v>
      </c>
      <c r="J52" s="6">
        <v>6.5</v>
      </c>
      <c r="K52" s="6">
        <v>8816.84</v>
      </c>
      <c r="L52" s="2">
        <f t="shared" si="0"/>
        <v>20675.799999999996</v>
      </c>
    </row>
    <row r="53" spans="1:12" x14ac:dyDescent="0.35">
      <c r="A53" s="5" t="s">
        <v>62</v>
      </c>
      <c r="B53" s="6">
        <v>5708.39</v>
      </c>
      <c r="C53" s="6">
        <v>54.9</v>
      </c>
      <c r="D53" s="6">
        <v>20137.14</v>
      </c>
      <c r="E53" s="6">
        <v>63.3</v>
      </c>
      <c r="F53" s="6">
        <v>5.03</v>
      </c>
      <c r="G53" s="6">
        <v>37.5</v>
      </c>
      <c r="H53" s="6">
        <v>299.5</v>
      </c>
      <c r="I53" s="6">
        <v>0.7</v>
      </c>
      <c r="J53" s="6">
        <v>18.600000000000001</v>
      </c>
      <c r="K53" s="6">
        <v>87091.08</v>
      </c>
      <c r="L53" s="2">
        <f t="shared" si="0"/>
        <v>113416.14</v>
      </c>
    </row>
    <row r="54" spans="1:12" x14ac:dyDescent="0.35">
      <c r="A54" s="5" t="s">
        <v>63</v>
      </c>
      <c r="B54" s="6">
        <v>236.65</v>
      </c>
      <c r="C54" s="6">
        <v>21.43</v>
      </c>
      <c r="D54" s="6">
        <v>7085.8</v>
      </c>
      <c r="E54" s="6">
        <v>12.14</v>
      </c>
      <c r="F54" s="6">
        <v>2.86</v>
      </c>
      <c r="G54" s="6">
        <v>4.8</v>
      </c>
      <c r="H54" s="6">
        <v>306.8</v>
      </c>
      <c r="I54" s="6">
        <v>0.2</v>
      </c>
      <c r="J54" s="6">
        <v>3.5</v>
      </c>
      <c r="K54" s="6">
        <v>13454.69</v>
      </c>
      <c r="L54" s="2">
        <f t="shared" si="0"/>
        <v>21128.870000000003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755.52</v>
      </c>
      <c r="C58" s="6">
        <v>10.61</v>
      </c>
      <c r="D58" s="6">
        <v>3169.01</v>
      </c>
      <c r="E58" s="6">
        <v>46.52</v>
      </c>
      <c r="F58" s="6">
        <v>0.24</v>
      </c>
      <c r="G58" s="6">
        <v>1</v>
      </c>
      <c r="H58" s="6">
        <v>50.6</v>
      </c>
      <c r="I58" s="6">
        <v>1</v>
      </c>
      <c r="J58" s="6">
        <v>1</v>
      </c>
      <c r="K58" s="6">
        <v>3503.26</v>
      </c>
      <c r="L58" s="2">
        <f t="shared" si="0"/>
        <v>7538.76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48572.3</v>
      </c>
      <c r="C60" s="7">
        <v>586.35</v>
      </c>
      <c r="D60" s="7">
        <v>181507.26</v>
      </c>
      <c r="E60" s="7">
        <v>984.9</v>
      </c>
      <c r="F60" s="7">
        <v>227.68</v>
      </c>
      <c r="G60" s="7">
        <v>109</v>
      </c>
      <c r="H60" s="7">
        <v>4806.3</v>
      </c>
      <c r="I60" s="7">
        <v>14.8</v>
      </c>
      <c r="J60" s="7">
        <v>130.30000000000001</v>
      </c>
      <c r="K60" s="7">
        <v>311377.65999999997</v>
      </c>
      <c r="L60" s="2">
        <f t="shared" si="0"/>
        <v>548316.54999999993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EAE0-51CC-44AE-BB1C-26D487932939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3439.79</v>
      </c>
      <c r="C2" s="6">
        <v>19.75</v>
      </c>
      <c r="D2" s="6">
        <v>6824.18</v>
      </c>
      <c r="E2" s="6">
        <v>25</v>
      </c>
      <c r="F2" s="6">
        <v>4.12</v>
      </c>
      <c r="G2" s="6">
        <v>0.9</v>
      </c>
      <c r="H2" s="6">
        <v>88.8</v>
      </c>
      <c r="I2" s="6">
        <v>0.3</v>
      </c>
      <c r="J2" s="6">
        <v>2.5</v>
      </c>
      <c r="K2" s="6">
        <v>5687.34</v>
      </c>
      <c r="L2" s="2">
        <f>SUM(B2:K2)</f>
        <v>16092.68</v>
      </c>
    </row>
    <row r="3" spans="1:12" x14ac:dyDescent="0.35">
      <c r="A3" s="5" t="s">
        <v>12</v>
      </c>
      <c r="B3" s="6">
        <v>177.5</v>
      </c>
      <c r="C3" s="6">
        <v>2.42</v>
      </c>
      <c r="D3" s="6">
        <v>1574.37</v>
      </c>
      <c r="E3" s="6">
        <v>2.69</v>
      </c>
      <c r="F3" s="6">
        <v>3.88</v>
      </c>
      <c r="G3" s="6">
        <v>0.7</v>
      </c>
      <c r="H3" s="6">
        <v>15.9</v>
      </c>
      <c r="I3" s="6">
        <v>0</v>
      </c>
      <c r="J3" s="6">
        <v>1.4</v>
      </c>
      <c r="K3" s="6">
        <v>2326.6999999999998</v>
      </c>
      <c r="L3" s="2">
        <f t="shared" ref="L3:L60" si="0">SUM(B3:K3)</f>
        <v>4105.5600000000004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2420.79</v>
      </c>
      <c r="C6" s="6">
        <v>28.42</v>
      </c>
      <c r="D6" s="6">
        <v>8144.69</v>
      </c>
      <c r="E6" s="6">
        <v>71.680000000000007</v>
      </c>
      <c r="F6" s="6">
        <v>1.62</v>
      </c>
      <c r="G6" s="6">
        <v>1.6</v>
      </c>
      <c r="H6" s="6">
        <v>100.6</v>
      </c>
      <c r="I6" s="6">
        <v>0.8</v>
      </c>
      <c r="J6" s="6">
        <v>3.2</v>
      </c>
      <c r="K6" s="6">
        <v>6642.53</v>
      </c>
      <c r="L6" s="2">
        <f t="shared" si="0"/>
        <v>17415.93</v>
      </c>
    </row>
    <row r="7" spans="1:12" x14ac:dyDescent="0.35">
      <c r="A7" s="5" t="s">
        <v>16</v>
      </c>
      <c r="B7" s="6">
        <v>299.87</v>
      </c>
      <c r="C7" s="6">
        <v>6.26</v>
      </c>
      <c r="D7" s="6">
        <v>3459.97</v>
      </c>
      <c r="E7" s="6">
        <v>22.22</v>
      </c>
      <c r="F7" s="6">
        <v>1.3</v>
      </c>
      <c r="G7" s="6">
        <v>0.1</v>
      </c>
      <c r="H7" s="6">
        <v>50.1</v>
      </c>
      <c r="I7" s="6">
        <v>0.1</v>
      </c>
      <c r="J7" s="6">
        <v>6.1</v>
      </c>
      <c r="K7" s="6">
        <v>4276.57</v>
      </c>
      <c r="L7" s="2">
        <f t="shared" si="0"/>
        <v>8122.5899999999992</v>
      </c>
    </row>
    <row r="8" spans="1:12" x14ac:dyDescent="0.35">
      <c r="A8" s="5" t="s">
        <v>17</v>
      </c>
      <c r="B8" s="6">
        <v>749.05</v>
      </c>
      <c r="C8" s="6">
        <v>33.33</v>
      </c>
      <c r="D8" s="6">
        <v>8341.7800000000007</v>
      </c>
      <c r="E8" s="6">
        <v>9.58</v>
      </c>
      <c r="F8" s="6">
        <v>1.58</v>
      </c>
      <c r="G8" s="6">
        <v>0.4</v>
      </c>
      <c r="H8" s="6">
        <v>290.89999999999998</v>
      </c>
      <c r="I8" s="6">
        <v>0</v>
      </c>
      <c r="J8" s="6">
        <v>1.9</v>
      </c>
      <c r="K8" s="6">
        <v>6538.73</v>
      </c>
      <c r="L8" s="2">
        <f t="shared" si="0"/>
        <v>15967.249999999998</v>
      </c>
    </row>
    <row r="9" spans="1:12" x14ac:dyDescent="0.35">
      <c r="A9" s="5" t="s">
        <v>18</v>
      </c>
      <c r="B9" s="6">
        <v>3448.74</v>
      </c>
      <c r="C9" s="6">
        <v>18.489999999999998</v>
      </c>
      <c r="D9" s="6">
        <v>6734.38</v>
      </c>
      <c r="E9" s="6">
        <v>10.79</v>
      </c>
      <c r="F9" s="6">
        <v>0.78</v>
      </c>
      <c r="G9" s="6">
        <v>1.7</v>
      </c>
      <c r="H9" s="6">
        <v>67.5</v>
      </c>
      <c r="I9" s="6">
        <v>0.3</v>
      </c>
      <c r="J9" s="6">
        <v>1.6</v>
      </c>
      <c r="K9" s="6">
        <v>7972.79</v>
      </c>
      <c r="L9" s="2">
        <f t="shared" si="0"/>
        <v>18257.070000000003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2831.1</v>
      </c>
      <c r="C12" s="6">
        <v>28.12</v>
      </c>
      <c r="D12" s="6">
        <v>8824.44</v>
      </c>
      <c r="E12" s="6">
        <v>26.14</v>
      </c>
      <c r="F12" s="6">
        <v>2.2599999999999998</v>
      </c>
      <c r="G12" s="6">
        <v>2</v>
      </c>
      <c r="H12" s="6">
        <v>168.2</v>
      </c>
      <c r="I12" s="6">
        <v>0.6</v>
      </c>
      <c r="J12" s="6">
        <v>7.2</v>
      </c>
      <c r="K12" s="6">
        <v>16539.740000000002</v>
      </c>
      <c r="L12" s="2">
        <f t="shared" si="0"/>
        <v>28429.800000000003</v>
      </c>
    </row>
    <row r="13" spans="1:12" x14ac:dyDescent="0.35">
      <c r="A13" s="5" t="s">
        <v>22</v>
      </c>
      <c r="B13" s="6">
        <v>4296.92</v>
      </c>
      <c r="C13" s="6">
        <v>10.36</v>
      </c>
      <c r="D13" s="6">
        <v>8219.0499999999993</v>
      </c>
      <c r="E13" s="6">
        <v>25.71</v>
      </c>
      <c r="F13" s="6">
        <v>3.27</v>
      </c>
      <c r="G13" s="6">
        <v>2.9</v>
      </c>
      <c r="H13" s="6">
        <v>78.5</v>
      </c>
      <c r="I13" s="6">
        <v>1.5</v>
      </c>
      <c r="J13" s="6">
        <v>9.4</v>
      </c>
      <c r="K13" s="6">
        <v>21874.23</v>
      </c>
      <c r="L13" s="2">
        <f t="shared" si="0"/>
        <v>34521.839999999997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176.13</v>
      </c>
      <c r="C16" s="6">
        <v>7.63</v>
      </c>
      <c r="D16" s="6">
        <v>2338.69</v>
      </c>
      <c r="E16" s="6">
        <v>2.62</v>
      </c>
      <c r="F16" s="6">
        <v>0.35</v>
      </c>
      <c r="G16" s="6">
        <v>0</v>
      </c>
      <c r="H16" s="6">
        <v>56.5</v>
      </c>
      <c r="I16" s="6">
        <v>0.1</v>
      </c>
      <c r="J16" s="6">
        <v>0.4</v>
      </c>
      <c r="K16" s="6">
        <v>1858.93</v>
      </c>
      <c r="L16" s="2">
        <f t="shared" si="0"/>
        <v>4441.3499999999995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1973.34</v>
      </c>
      <c r="C19" s="6">
        <v>15.3</v>
      </c>
      <c r="D19" s="6">
        <v>5527.59</v>
      </c>
      <c r="E19" s="6">
        <v>20.5</v>
      </c>
      <c r="F19" s="6">
        <v>0.65</v>
      </c>
      <c r="G19" s="6">
        <v>0.7</v>
      </c>
      <c r="H19" s="6">
        <v>60.6</v>
      </c>
      <c r="I19" s="6">
        <v>0</v>
      </c>
      <c r="J19" s="6">
        <v>0.5</v>
      </c>
      <c r="K19" s="6">
        <v>6563.5</v>
      </c>
      <c r="L19" s="2">
        <f t="shared" si="0"/>
        <v>14162.68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1167.23</v>
      </c>
      <c r="C22" s="6">
        <v>14.01</v>
      </c>
      <c r="D22" s="6">
        <v>1651.81</v>
      </c>
      <c r="E22" s="6">
        <v>0.84</v>
      </c>
      <c r="F22" s="6">
        <v>0.28000000000000003</v>
      </c>
      <c r="G22" s="6">
        <v>0.5</v>
      </c>
      <c r="H22" s="6">
        <v>29.8</v>
      </c>
      <c r="I22" s="6">
        <v>0</v>
      </c>
      <c r="J22" s="6">
        <v>1.9</v>
      </c>
      <c r="K22" s="6">
        <v>7444.95</v>
      </c>
      <c r="L22" s="2">
        <f t="shared" si="0"/>
        <v>10311.32</v>
      </c>
    </row>
    <row r="23" spans="1:12" x14ac:dyDescent="0.35">
      <c r="A23" s="5" t="s">
        <v>32</v>
      </c>
      <c r="B23" s="6">
        <v>2856.26</v>
      </c>
      <c r="C23" s="6">
        <v>17.309999999999999</v>
      </c>
      <c r="D23" s="6">
        <v>8947</v>
      </c>
      <c r="E23" s="6">
        <v>18.64</v>
      </c>
      <c r="F23" s="6">
        <v>1.55</v>
      </c>
      <c r="G23" s="6">
        <v>9.6</v>
      </c>
      <c r="H23" s="6">
        <v>313</v>
      </c>
      <c r="I23" s="6">
        <v>0.2</v>
      </c>
      <c r="J23" s="6">
        <v>3.9</v>
      </c>
      <c r="K23" s="6">
        <v>12646.81</v>
      </c>
      <c r="L23" s="2">
        <f t="shared" si="0"/>
        <v>24814.269999999997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1262.69</v>
      </c>
      <c r="C29" s="6">
        <v>15.96</v>
      </c>
      <c r="D29" s="6">
        <v>7920.68</v>
      </c>
      <c r="E29" s="6">
        <v>12.51</v>
      </c>
      <c r="F29" s="6">
        <v>1.1299999999999999</v>
      </c>
      <c r="G29" s="6">
        <v>2.1</v>
      </c>
      <c r="H29" s="6">
        <v>102.9</v>
      </c>
      <c r="I29" s="6">
        <v>0.4</v>
      </c>
      <c r="J29" s="6">
        <v>2.7</v>
      </c>
      <c r="K29" s="6">
        <v>1946.5</v>
      </c>
      <c r="L29" s="2">
        <f t="shared" si="0"/>
        <v>11267.57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4646.58</v>
      </c>
      <c r="C31" s="6">
        <v>38.450000000000003</v>
      </c>
      <c r="D31" s="6">
        <v>14871.89</v>
      </c>
      <c r="E31" s="6">
        <v>21.35</v>
      </c>
      <c r="F31" s="6">
        <v>1.92</v>
      </c>
      <c r="G31" s="6">
        <v>1.4</v>
      </c>
      <c r="H31" s="6">
        <v>605.70000000000005</v>
      </c>
      <c r="I31" s="6">
        <v>0.2</v>
      </c>
      <c r="J31" s="6">
        <v>1.5</v>
      </c>
      <c r="K31" s="6">
        <v>6940.48</v>
      </c>
      <c r="L31" s="2">
        <f t="shared" si="0"/>
        <v>27129.469999999998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2491.4299999999998</v>
      </c>
      <c r="C34" s="6">
        <v>41.06</v>
      </c>
      <c r="D34" s="6">
        <v>9964.25</v>
      </c>
      <c r="E34" s="6">
        <v>29.44</v>
      </c>
      <c r="F34" s="6">
        <v>0.92</v>
      </c>
      <c r="G34" s="6">
        <v>2.4</v>
      </c>
      <c r="H34" s="6">
        <v>554.29999999999995</v>
      </c>
      <c r="I34" s="6">
        <v>0.8</v>
      </c>
      <c r="J34" s="6">
        <v>3.7</v>
      </c>
      <c r="K34" s="6">
        <v>7786.13</v>
      </c>
      <c r="L34" s="2">
        <f t="shared" si="0"/>
        <v>20874.43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920.51</v>
      </c>
      <c r="C36" s="6">
        <v>91.3</v>
      </c>
      <c r="D36" s="6">
        <v>12045.41</v>
      </c>
      <c r="E36" s="6">
        <v>50.3</v>
      </c>
      <c r="F36" s="6">
        <v>9.49</v>
      </c>
      <c r="G36" s="6">
        <v>4.4000000000000004</v>
      </c>
      <c r="H36" s="6">
        <v>264.2</v>
      </c>
      <c r="I36" s="6">
        <v>1.3</v>
      </c>
      <c r="J36" s="6">
        <v>6.2</v>
      </c>
      <c r="K36" s="6">
        <v>28976.639999999999</v>
      </c>
      <c r="L36" s="2">
        <f t="shared" si="0"/>
        <v>42369.75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919.34</v>
      </c>
      <c r="C40" s="6">
        <v>23.43</v>
      </c>
      <c r="D40" s="6">
        <v>3423.7</v>
      </c>
      <c r="E40" s="6">
        <v>11.03</v>
      </c>
      <c r="F40" s="6">
        <v>0.17</v>
      </c>
      <c r="G40" s="6">
        <v>0.8</v>
      </c>
      <c r="H40" s="6">
        <v>88.3</v>
      </c>
      <c r="I40" s="6">
        <v>0</v>
      </c>
      <c r="J40" s="6">
        <v>0.5</v>
      </c>
      <c r="K40" s="6">
        <v>1905.61</v>
      </c>
      <c r="L40" s="2">
        <f t="shared" si="0"/>
        <v>6372.8799999999992</v>
      </c>
    </row>
    <row r="41" spans="1:12" x14ac:dyDescent="0.35">
      <c r="A41" s="5" t="s">
        <v>50</v>
      </c>
      <c r="B41" s="6">
        <v>2205.4699999999998</v>
      </c>
      <c r="C41" s="6">
        <v>20.010000000000002</v>
      </c>
      <c r="D41" s="6">
        <v>9421.56</v>
      </c>
      <c r="E41" s="6">
        <v>21.74</v>
      </c>
      <c r="F41" s="6">
        <v>3.05</v>
      </c>
      <c r="G41" s="6">
        <v>2.1</v>
      </c>
      <c r="H41" s="6">
        <v>358.6</v>
      </c>
      <c r="I41" s="6">
        <v>0</v>
      </c>
      <c r="J41" s="6">
        <v>3.1</v>
      </c>
      <c r="K41" s="6">
        <v>23004.400000000001</v>
      </c>
      <c r="L41" s="2">
        <f t="shared" si="0"/>
        <v>35040.03</v>
      </c>
    </row>
    <row r="42" spans="1:12" x14ac:dyDescent="0.35">
      <c r="A42" s="5" t="s">
        <v>51</v>
      </c>
      <c r="B42" s="6">
        <v>1896.02</v>
      </c>
      <c r="C42" s="6">
        <v>28.56</v>
      </c>
      <c r="D42" s="6">
        <v>7299.47</v>
      </c>
      <c r="E42" s="6">
        <v>26.58</v>
      </c>
      <c r="F42" s="6">
        <v>3.12</v>
      </c>
      <c r="G42" s="6">
        <v>0.6</v>
      </c>
      <c r="H42" s="6">
        <v>174</v>
      </c>
      <c r="I42" s="6">
        <v>0.1</v>
      </c>
      <c r="J42" s="6">
        <v>1.6</v>
      </c>
      <c r="K42" s="6">
        <v>6944.57</v>
      </c>
      <c r="L42" s="2">
        <f t="shared" si="0"/>
        <v>16374.62</v>
      </c>
    </row>
    <row r="43" spans="1:12" x14ac:dyDescent="0.35">
      <c r="A43" s="5" t="s">
        <v>52</v>
      </c>
      <c r="B43" s="6">
        <v>942.88</v>
      </c>
      <c r="C43" s="6">
        <v>44.74</v>
      </c>
      <c r="D43" s="6">
        <v>3996.17</v>
      </c>
      <c r="E43" s="6">
        <v>4.29</v>
      </c>
      <c r="F43" s="6">
        <v>0.03</v>
      </c>
      <c r="G43" s="6">
        <v>0.2</v>
      </c>
      <c r="H43" s="6">
        <v>22.7</v>
      </c>
      <c r="I43" s="6">
        <v>0</v>
      </c>
      <c r="J43" s="6">
        <v>1.7</v>
      </c>
      <c r="K43" s="6">
        <v>9314.34</v>
      </c>
      <c r="L43" s="2">
        <f t="shared" si="0"/>
        <v>14327.05</v>
      </c>
    </row>
    <row r="44" spans="1:12" x14ac:dyDescent="0.35">
      <c r="A44" s="5" t="s">
        <v>53</v>
      </c>
      <c r="B44" s="6">
        <v>648.65</v>
      </c>
      <c r="C44" s="6">
        <v>16.2</v>
      </c>
      <c r="D44" s="6">
        <v>4719.33</v>
      </c>
      <c r="E44" s="6">
        <v>3.25</v>
      </c>
      <c r="F44" s="6">
        <v>8.11</v>
      </c>
      <c r="G44" s="6">
        <v>0.7</v>
      </c>
      <c r="H44" s="6">
        <v>137.80000000000001</v>
      </c>
      <c r="I44" s="6">
        <v>0.1</v>
      </c>
      <c r="J44" s="6">
        <v>2</v>
      </c>
      <c r="K44" s="6">
        <v>5766.85</v>
      </c>
      <c r="L44" s="2">
        <f t="shared" si="0"/>
        <v>11302.990000000002</v>
      </c>
    </row>
    <row r="45" spans="1:12" x14ac:dyDescent="0.35">
      <c r="A45" s="5" t="s">
        <v>54</v>
      </c>
      <c r="B45" s="6">
        <v>838.01</v>
      </c>
      <c r="C45" s="6">
        <v>10.85</v>
      </c>
      <c r="D45" s="6">
        <v>3472.69</v>
      </c>
      <c r="E45" s="6">
        <v>1.05</v>
      </c>
      <c r="F45" s="6">
        <v>0.5</v>
      </c>
      <c r="G45" s="6">
        <v>0.7</v>
      </c>
      <c r="H45" s="6">
        <v>53.2</v>
      </c>
      <c r="I45" s="6">
        <v>0.1</v>
      </c>
      <c r="J45" s="6">
        <v>0.1</v>
      </c>
      <c r="K45" s="6">
        <v>1694.24</v>
      </c>
      <c r="L45" s="2">
        <f t="shared" si="0"/>
        <v>6071.4400000000005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861.62</v>
      </c>
      <c r="C48" s="6">
        <v>8.98</v>
      </c>
      <c r="D48" s="6">
        <v>4069.62</v>
      </c>
      <c r="E48" s="6">
        <v>18.55</v>
      </c>
      <c r="F48" s="6">
        <v>100.5</v>
      </c>
      <c r="G48" s="6">
        <v>0.2</v>
      </c>
      <c r="H48" s="6">
        <v>57.6</v>
      </c>
      <c r="I48" s="6">
        <v>1.3</v>
      </c>
      <c r="J48" s="6">
        <v>26.4</v>
      </c>
      <c r="K48" s="6">
        <v>2429</v>
      </c>
      <c r="L48" s="2">
        <f t="shared" si="0"/>
        <v>7573.77</v>
      </c>
    </row>
    <row r="49" spans="1:12" x14ac:dyDescent="0.35">
      <c r="A49" s="5" t="s">
        <v>58</v>
      </c>
      <c r="B49" s="6">
        <v>360.78</v>
      </c>
      <c r="C49" s="6">
        <v>2.79</v>
      </c>
      <c r="D49" s="6">
        <v>1384.45</v>
      </c>
      <c r="E49" s="6">
        <v>3.62</v>
      </c>
      <c r="F49" s="6">
        <v>0</v>
      </c>
      <c r="G49" s="6">
        <v>0.5</v>
      </c>
      <c r="H49" s="6">
        <v>36.4</v>
      </c>
      <c r="I49" s="6">
        <v>0</v>
      </c>
      <c r="J49" s="6">
        <v>0.6</v>
      </c>
      <c r="K49" s="6">
        <v>1171.8800000000001</v>
      </c>
      <c r="L49" s="2">
        <f t="shared" si="0"/>
        <v>2961.02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3121.5</v>
      </c>
      <c r="C52" s="6">
        <v>18.45</v>
      </c>
      <c r="D52" s="6">
        <v>12537.91</v>
      </c>
      <c r="E52" s="6">
        <v>48.67</v>
      </c>
      <c r="F52" s="6">
        <v>1.03</v>
      </c>
      <c r="G52" s="6">
        <v>6.4</v>
      </c>
      <c r="H52" s="6">
        <v>531.29999999999995</v>
      </c>
      <c r="I52" s="6">
        <v>1.9</v>
      </c>
      <c r="J52" s="6">
        <v>7.4</v>
      </c>
      <c r="K52" s="6">
        <v>11100.57</v>
      </c>
      <c r="L52" s="2">
        <f t="shared" si="0"/>
        <v>27375.129999999997</v>
      </c>
    </row>
    <row r="53" spans="1:12" x14ac:dyDescent="0.35">
      <c r="A53" s="5" t="s">
        <v>62</v>
      </c>
      <c r="B53" s="6">
        <v>6507.21</v>
      </c>
      <c r="C53" s="6">
        <v>64.2</v>
      </c>
      <c r="D53" s="6">
        <v>23347.52</v>
      </c>
      <c r="E53" s="6">
        <v>47.88</v>
      </c>
      <c r="F53" s="6">
        <v>2.88</v>
      </c>
      <c r="G53" s="6">
        <v>25.2</v>
      </c>
      <c r="H53" s="6">
        <v>444.3</v>
      </c>
      <c r="I53" s="6">
        <v>0.5</v>
      </c>
      <c r="J53" s="6">
        <v>9.5</v>
      </c>
      <c r="K53" s="6">
        <v>83645.5</v>
      </c>
      <c r="L53" s="2">
        <f t="shared" si="0"/>
        <v>114094.69</v>
      </c>
    </row>
    <row r="54" spans="1:12" x14ac:dyDescent="0.35">
      <c r="A54" s="5" t="s">
        <v>63</v>
      </c>
      <c r="B54" s="6">
        <v>373.4</v>
      </c>
      <c r="C54" s="6">
        <v>45.52</v>
      </c>
      <c r="D54" s="6">
        <v>8173.43</v>
      </c>
      <c r="E54" s="6">
        <v>9.2799999999999994</v>
      </c>
      <c r="F54" s="6">
        <v>1.22</v>
      </c>
      <c r="G54" s="6">
        <v>1.4</v>
      </c>
      <c r="H54" s="6">
        <v>339.3</v>
      </c>
      <c r="I54" s="6">
        <v>0.3</v>
      </c>
      <c r="J54" s="6">
        <v>5</v>
      </c>
      <c r="K54" s="6">
        <v>12670.97</v>
      </c>
      <c r="L54" s="2">
        <f t="shared" si="0"/>
        <v>21619.82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1105.8399999999999</v>
      </c>
      <c r="C58" s="6">
        <v>2.2799999999999998</v>
      </c>
      <c r="D58" s="6">
        <v>4034.38</v>
      </c>
      <c r="E58" s="6">
        <v>11.16</v>
      </c>
      <c r="F58" s="6">
        <v>0.42</v>
      </c>
      <c r="G58" s="6">
        <v>0.5</v>
      </c>
      <c r="H58" s="6">
        <v>68.099999999999994</v>
      </c>
      <c r="I58" s="6">
        <v>0.1</v>
      </c>
      <c r="J58" s="6">
        <v>0.6</v>
      </c>
      <c r="K58" s="6">
        <v>4171.88</v>
      </c>
      <c r="L58" s="2">
        <f t="shared" si="0"/>
        <v>9395.260000000002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52938.65</v>
      </c>
      <c r="C60" s="7">
        <v>674.18</v>
      </c>
      <c r="D60" s="7">
        <v>201270.43</v>
      </c>
      <c r="E60" s="7">
        <v>557.11</v>
      </c>
      <c r="F60" s="7">
        <v>156.11000000000001</v>
      </c>
      <c r="G60" s="7">
        <v>70.7</v>
      </c>
      <c r="H60" s="7">
        <v>5159.1000000000004</v>
      </c>
      <c r="I60" s="7">
        <v>11</v>
      </c>
      <c r="J60" s="7">
        <v>112.6</v>
      </c>
      <c r="K60" s="7">
        <v>309842.37</v>
      </c>
      <c r="L60" s="2">
        <f t="shared" si="0"/>
        <v>570792.25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E5CE-41D9-49F5-9398-1D002C7D2AB1}">
  <dimension ref="A1:L60"/>
  <sheetViews>
    <sheetView workbookViewId="0">
      <selection activeCell="L1" sqref="L1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1574.71</v>
      </c>
      <c r="C2" s="6">
        <v>20.329999999999998</v>
      </c>
      <c r="D2" s="6">
        <v>4119.8999999999996</v>
      </c>
      <c r="E2" s="6">
        <v>21.98</v>
      </c>
      <c r="F2" s="6">
        <v>0.64</v>
      </c>
      <c r="G2" s="6">
        <v>0.8</v>
      </c>
      <c r="H2" s="6">
        <v>36.799999999999997</v>
      </c>
      <c r="I2" s="6">
        <v>0</v>
      </c>
      <c r="J2" s="6">
        <v>5.2</v>
      </c>
      <c r="K2" s="6">
        <v>4852.1400000000003</v>
      </c>
      <c r="L2" s="2">
        <f>SUM(B2:K2)</f>
        <v>10632.5</v>
      </c>
    </row>
    <row r="3" spans="1:12" x14ac:dyDescent="0.35">
      <c r="A3" s="5" t="s">
        <v>12</v>
      </c>
      <c r="B3" s="6">
        <v>277.77999999999997</v>
      </c>
      <c r="C3" s="6">
        <v>4.55</v>
      </c>
      <c r="D3" s="6">
        <v>1892.83</v>
      </c>
      <c r="E3" s="6">
        <v>0.42</v>
      </c>
      <c r="F3" s="6">
        <v>0.03</v>
      </c>
      <c r="G3" s="6">
        <v>0.6</v>
      </c>
      <c r="H3" s="6">
        <v>31.4</v>
      </c>
      <c r="I3" s="6">
        <v>0.1</v>
      </c>
      <c r="J3" s="6">
        <v>2.1</v>
      </c>
      <c r="K3" s="6">
        <v>3649.84</v>
      </c>
      <c r="L3" s="2">
        <f t="shared" ref="L3:L60" si="0">SUM(B3:K3)</f>
        <v>5859.65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1890.13</v>
      </c>
      <c r="C6" s="6">
        <v>29.7</v>
      </c>
      <c r="D6" s="6">
        <v>8748.52</v>
      </c>
      <c r="E6" s="6">
        <v>85.41</v>
      </c>
      <c r="F6" s="6">
        <v>4.8</v>
      </c>
      <c r="G6" s="6">
        <v>1.5</v>
      </c>
      <c r="H6" s="6">
        <v>86.2</v>
      </c>
      <c r="I6" s="6">
        <v>0.4</v>
      </c>
      <c r="J6" s="6">
        <v>1.9</v>
      </c>
      <c r="K6" s="6">
        <v>8795.6299999999992</v>
      </c>
      <c r="L6" s="2">
        <f t="shared" si="0"/>
        <v>19644.189999999999</v>
      </c>
    </row>
    <row r="7" spans="1:12" x14ac:dyDescent="0.35">
      <c r="A7" s="5" t="s">
        <v>16</v>
      </c>
      <c r="B7" s="6">
        <v>230.19</v>
      </c>
      <c r="C7" s="6">
        <v>3.74</v>
      </c>
      <c r="D7" s="6">
        <v>3638.79</v>
      </c>
      <c r="E7" s="6">
        <v>9.58</v>
      </c>
      <c r="F7" s="6">
        <v>2.38</v>
      </c>
      <c r="G7" s="6">
        <v>1.1000000000000001</v>
      </c>
      <c r="H7" s="6">
        <v>54.6</v>
      </c>
      <c r="I7" s="6">
        <v>0</v>
      </c>
      <c r="J7" s="6">
        <v>5</v>
      </c>
      <c r="K7" s="6">
        <v>5997.55</v>
      </c>
      <c r="L7" s="2">
        <f t="shared" si="0"/>
        <v>9942.93</v>
      </c>
    </row>
    <row r="8" spans="1:12" x14ac:dyDescent="0.35">
      <c r="A8" s="5" t="s">
        <v>17</v>
      </c>
      <c r="B8" s="6">
        <v>711.69</v>
      </c>
      <c r="C8" s="6">
        <v>50.19</v>
      </c>
      <c r="D8" s="6">
        <v>7819.86</v>
      </c>
      <c r="E8" s="6">
        <v>32.76</v>
      </c>
      <c r="F8" s="6">
        <v>2.86</v>
      </c>
      <c r="G8" s="6">
        <v>1</v>
      </c>
      <c r="H8" s="6">
        <v>159.4</v>
      </c>
      <c r="I8" s="6">
        <v>0.2</v>
      </c>
      <c r="J8" s="6">
        <v>1.6</v>
      </c>
      <c r="K8" s="6">
        <v>6174.15</v>
      </c>
      <c r="L8" s="2">
        <f t="shared" si="0"/>
        <v>14953.710000000001</v>
      </c>
    </row>
    <row r="9" spans="1:12" x14ac:dyDescent="0.35">
      <c r="A9" s="5" t="s">
        <v>18</v>
      </c>
      <c r="B9" s="6">
        <v>2978.33</v>
      </c>
      <c r="C9" s="6">
        <v>9.76</v>
      </c>
      <c r="D9" s="6">
        <v>7524.87</v>
      </c>
      <c r="E9" s="6">
        <v>9.6999999999999993</v>
      </c>
      <c r="F9" s="6">
        <v>0.83</v>
      </c>
      <c r="G9" s="6">
        <v>5.2</v>
      </c>
      <c r="H9" s="6">
        <v>114.6</v>
      </c>
      <c r="I9" s="6">
        <v>0.3</v>
      </c>
      <c r="J9" s="6">
        <v>3</v>
      </c>
      <c r="K9" s="6">
        <v>9874.1299999999992</v>
      </c>
      <c r="L9" s="2">
        <f t="shared" si="0"/>
        <v>20520.72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3048.8</v>
      </c>
      <c r="C12" s="6">
        <v>20.350000000000001</v>
      </c>
      <c r="D12" s="6">
        <v>8757.83</v>
      </c>
      <c r="E12" s="6">
        <v>15.45</v>
      </c>
      <c r="F12" s="6">
        <v>0.74</v>
      </c>
      <c r="G12" s="6">
        <v>3</v>
      </c>
      <c r="H12" s="6">
        <v>183.4</v>
      </c>
      <c r="I12" s="6">
        <v>0.1</v>
      </c>
      <c r="J12" s="6">
        <v>1.7</v>
      </c>
      <c r="K12" s="6">
        <v>20335.21</v>
      </c>
      <c r="L12" s="2">
        <f t="shared" si="0"/>
        <v>32366.58</v>
      </c>
    </row>
    <row r="13" spans="1:12" x14ac:dyDescent="0.35">
      <c r="A13" s="5" t="s">
        <v>22</v>
      </c>
      <c r="B13" s="6">
        <v>4318.9399999999996</v>
      </c>
      <c r="C13" s="6">
        <v>20.420000000000002</v>
      </c>
      <c r="D13" s="6">
        <v>9126.7800000000007</v>
      </c>
      <c r="E13" s="6">
        <v>26.7</v>
      </c>
      <c r="F13" s="6">
        <v>1.3</v>
      </c>
      <c r="G13" s="6">
        <v>10.5</v>
      </c>
      <c r="H13" s="6">
        <v>162.9</v>
      </c>
      <c r="I13" s="6">
        <v>0.8</v>
      </c>
      <c r="J13" s="6">
        <v>5.2</v>
      </c>
      <c r="K13" s="6">
        <v>28192.080000000002</v>
      </c>
      <c r="L13" s="2">
        <f t="shared" si="0"/>
        <v>41865.620000000003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2477.85</v>
      </c>
      <c r="L14" s="2">
        <f t="shared" si="0"/>
        <v>2477.85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90.59</v>
      </c>
      <c r="C16" s="6">
        <v>15.11</v>
      </c>
      <c r="D16" s="6">
        <v>2132.62</v>
      </c>
      <c r="E16" s="6">
        <v>0</v>
      </c>
      <c r="F16" s="6">
        <v>0</v>
      </c>
      <c r="G16" s="6">
        <v>0.1</v>
      </c>
      <c r="H16" s="6">
        <v>36.799999999999997</v>
      </c>
      <c r="I16" s="6">
        <v>0.1</v>
      </c>
      <c r="J16" s="6">
        <v>0</v>
      </c>
      <c r="K16" s="6">
        <v>1023.02</v>
      </c>
      <c r="L16" s="2">
        <f t="shared" si="0"/>
        <v>3298.3399999999997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10.6</v>
      </c>
      <c r="D18" s="6">
        <v>4111.03</v>
      </c>
      <c r="E18" s="6">
        <v>0.32</v>
      </c>
      <c r="F18" s="6">
        <v>0.22</v>
      </c>
      <c r="G18" s="6">
        <v>0.8</v>
      </c>
      <c r="H18" s="6">
        <v>119</v>
      </c>
      <c r="I18" s="6">
        <v>0.4</v>
      </c>
      <c r="J18" s="6">
        <v>1.4</v>
      </c>
      <c r="K18" s="6">
        <v>6775.62</v>
      </c>
      <c r="L18" s="2">
        <f t="shared" si="0"/>
        <v>11019.39</v>
      </c>
    </row>
    <row r="19" spans="1:12" x14ac:dyDescent="0.35">
      <c r="A19" s="5" t="s">
        <v>28</v>
      </c>
      <c r="B19" s="6">
        <v>1691.1</v>
      </c>
      <c r="C19" s="6">
        <v>12.73</v>
      </c>
      <c r="D19" s="6">
        <v>6459.12</v>
      </c>
      <c r="E19" s="6">
        <v>9.74</v>
      </c>
      <c r="F19" s="6">
        <v>0.71</v>
      </c>
      <c r="G19" s="6">
        <v>1.7</v>
      </c>
      <c r="H19" s="6">
        <v>132.6</v>
      </c>
      <c r="I19" s="6">
        <v>0</v>
      </c>
      <c r="J19" s="6">
        <v>1.9</v>
      </c>
      <c r="K19" s="6">
        <v>7494.7</v>
      </c>
      <c r="L19" s="2">
        <f t="shared" si="0"/>
        <v>15804.3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1473.13</v>
      </c>
      <c r="C22" s="6">
        <v>5.42</v>
      </c>
      <c r="D22" s="6">
        <v>1476.85</v>
      </c>
      <c r="E22" s="6">
        <v>2.27</v>
      </c>
      <c r="F22" s="6">
        <v>0.01</v>
      </c>
      <c r="G22" s="6">
        <v>0.4</v>
      </c>
      <c r="H22" s="6">
        <v>43.5</v>
      </c>
      <c r="I22" s="6">
        <v>0.6</v>
      </c>
      <c r="J22" s="6">
        <v>0.5</v>
      </c>
      <c r="K22" s="6">
        <v>6591.13</v>
      </c>
      <c r="L22" s="2">
        <f t="shared" si="0"/>
        <v>9593.8100000000013</v>
      </c>
    </row>
    <row r="23" spans="1:12" x14ac:dyDescent="0.35">
      <c r="A23" s="5" t="s">
        <v>32</v>
      </c>
      <c r="B23" s="6">
        <v>2351.2800000000002</v>
      </c>
      <c r="C23" s="6">
        <v>20.77</v>
      </c>
      <c r="D23" s="6">
        <v>7574.16</v>
      </c>
      <c r="E23" s="6">
        <v>16.63</v>
      </c>
      <c r="F23" s="6">
        <v>2.04</v>
      </c>
      <c r="G23" s="6">
        <v>7.8</v>
      </c>
      <c r="H23" s="6">
        <v>400.3</v>
      </c>
      <c r="I23" s="6">
        <v>0.2</v>
      </c>
      <c r="J23" s="6">
        <v>1.7</v>
      </c>
      <c r="K23" s="6">
        <v>15753.12</v>
      </c>
      <c r="L23" s="2">
        <f t="shared" si="0"/>
        <v>26128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2.97</v>
      </c>
      <c r="D25" s="6">
        <v>1009.03</v>
      </c>
      <c r="E25" s="6">
        <v>0</v>
      </c>
      <c r="F25" s="6">
        <v>0.01</v>
      </c>
      <c r="G25" s="6">
        <v>1.6</v>
      </c>
      <c r="H25" s="6">
        <v>7.5</v>
      </c>
      <c r="I25" s="6">
        <v>0</v>
      </c>
      <c r="J25" s="6">
        <v>0.7</v>
      </c>
      <c r="K25" s="6">
        <v>876.77</v>
      </c>
      <c r="L25" s="2">
        <f t="shared" si="0"/>
        <v>1898.58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3.49</v>
      </c>
      <c r="D27" s="6">
        <v>589.4</v>
      </c>
      <c r="E27" s="6">
        <v>0</v>
      </c>
      <c r="F27" s="6">
        <v>0.03</v>
      </c>
      <c r="G27" s="6">
        <v>0</v>
      </c>
      <c r="H27" s="6">
        <v>56.1</v>
      </c>
      <c r="I27" s="6">
        <v>0.1</v>
      </c>
      <c r="J27" s="6">
        <v>0</v>
      </c>
      <c r="K27" s="6">
        <v>1647.72</v>
      </c>
      <c r="L27" s="2">
        <f t="shared" si="0"/>
        <v>2296.84</v>
      </c>
    </row>
    <row r="28" spans="1:12" x14ac:dyDescent="0.35">
      <c r="A28" s="5" t="s">
        <v>37</v>
      </c>
      <c r="B28" s="6">
        <v>0</v>
      </c>
      <c r="C28" s="6">
        <v>10.029999999999999</v>
      </c>
      <c r="D28" s="6">
        <v>5637.65</v>
      </c>
      <c r="E28" s="6">
        <v>2.5099999999999998</v>
      </c>
      <c r="F28" s="6">
        <v>7.8</v>
      </c>
      <c r="G28" s="6">
        <v>1.5</v>
      </c>
      <c r="H28" s="6">
        <v>153</v>
      </c>
      <c r="I28" s="6">
        <v>1.3</v>
      </c>
      <c r="J28" s="6">
        <v>3.5</v>
      </c>
      <c r="K28" s="6">
        <v>12558.83</v>
      </c>
      <c r="L28" s="2">
        <f t="shared" si="0"/>
        <v>18376.12</v>
      </c>
    </row>
    <row r="29" spans="1:12" x14ac:dyDescent="0.35">
      <c r="A29" s="5" t="s">
        <v>38</v>
      </c>
      <c r="B29" s="6">
        <v>827.68</v>
      </c>
      <c r="C29" s="6">
        <v>12.77</v>
      </c>
      <c r="D29" s="6">
        <v>7516.43</v>
      </c>
      <c r="E29" s="6">
        <v>10.19</v>
      </c>
      <c r="F29" s="6">
        <v>1.86</v>
      </c>
      <c r="G29" s="6">
        <v>1.8</v>
      </c>
      <c r="H29" s="6">
        <v>114.1</v>
      </c>
      <c r="I29" s="6">
        <v>0.4</v>
      </c>
      <c r="J29" s="6">
        <v>0.8</v>
      </c>
      <c r="K29" s="6">
        <v>1772.8</v>
      </c>
      <c r="L29" s="2">
        <f t="shared" si="0"/>
        <v>10258.83</v>
      </c>
    </row>
    <row r="30" spans="1:12" x14ac:dyDescent="0.35">
      <c r="A30" s="5" t="s">
        <v>39</v>
      </c>
      <c r="B30" s="6">
        <v>0</v>
      </c>
      <c r="C30" s="6">
        <v>14.75</v>
      </c>
      <c r="D30" s="6">
        <v>4614.8999999999996</v>
      </c>
      <c r="E30" s="6">
        <v>4.05</v>
      </c>
      <c r="F30" s="6">
        <v>0.15</v>
      </c>
      <c r="G30" s="6">
        <v>1.1000000000000001</v>
      </c>
      <c r="H30" s="6">
        <v>265.5</v>
      </c>
      <c r="I30" s="6">
        <v>0.1</v>
      </c>
      <c r="J30" s="6">
        <v>2.7</v>
      </c>
      <c r="K30" s="6">
        <v>10369.719999999999</v>
      </c>
      <c r="L30" s="2">
        <f t="shared" si="0"/>
        <v>15272.97</v>
      </c>
    </row>
    <row r="31" spans="1:12" x14ac:dyDescent="0.35">
      <c r="A31" s="5" t="s">
        <v>40</v>
      </c>
      <c r="B31" s="6">
        <v>2675.85</v>
      </c>
      <c r="C31" s="6">
        <v>51.62</v>
      </c>
      <c r="D31" s="6">
        <v>11153.56</v>
      </c>
      <c r="E31" s="6">
        <v>8.06</v>
      </c>
      <c r="F31" s="6">
        <v>0.13</v>
      </c>
      <c r="G31" s="6">
        <v>3</v>
      </c>
      <c r="H31" s="6">
        <v>560</v>
      </c>
      <c r="I31" s="6">
        <v>0</v>
      </c>
      <c r="J31" s="6">
        <v>3.4</v>
      </c>
      <c r="K31" s="6">
        <v>7462.18</v>
      </c>
      <c r="L31" s="2">
        <f t="shared" si="0"/>
        <v>21917.799999999996</v>
      </c>
    </row>
    <row r="32" spans="1:12" x14ac:dyDescent="0.35">
      <c r="A32" s="5" t="s">
        <v>41</v>
      </c>
      <c r="B32" s="6">
        <v>0</v>
      </c>
      <c r="C32" s="6">
        <v>33.770000000000003</v>
      </c>
      <c r="D32" s="6">
        <v>9062.82</v>
      </c>
      <c r="E32" s="6">
        <v>13.06</v>
      </c>
      <c r="F32" s="6">
        <v>0.92</v>
      </c>
      <c r="G32" s="6">
        <v>3.7</v>
      </c>
      <c r="H32" s="6">
        <v>315.39999999999998</v>
      </c>
      <c r="I32" s="6">
        <v>0.2</v>
      </c>
      <c r="J32" s="6">
        <v>4.5</v>
      </c>
      <c r="K32" s="6">
        <v>10275.9</v>
      </c>
      <c r="L32" s="2">
        <f t="shared" si="0"/>
        <v>19710.27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2039.67</v>
      </c>
      <c r="C34" s="6">
        <v>36.130000000000003</v>
      </c>
      <c r="D34" s="6">
        <v>8770.7099999999991</v>
      </c>
      <c r="E34" s="6">
        <v>39.85</v>
      </c>
      <c r="F34" s="6">
        <v>9.75</v>
      </c>
      <c r="G34" s="6">
        <v>4</v>
      </c>
      <c r="H34" s="6">
        <v>567.70000000000005</v>
      </c>
      <c r="I34" s="6">
        <v>0.4</v>
      </c>
      <c r="J34" s="6">
        <v>6.5</v>
      </c>
      <c r="K34" s="6">
        <v>7888.5</v>
      </c>
      <c r="L34" s="2">
        <f t="shared" si="0"/>
        <v>19363.21</v>
      </c>
    </row>
    <row r="35" spans="1:12" x14ac:dyDescent="0.35">
      <c r="A35" s="5" t="s">
        <v>44</v>
      </c>
      <c r="B35" s="6">
        <v>0</v>
      </c>
      <c r="C35" s="6">
        <v>32.35</v>
      </c>
      <c r="D35" s="6">
        <v>8919.65</v>
      </c>
      <c r="E35" s="6">
        <v>5.96</v>
      </c>
      <c r="F35" s="6">
        <v>2.96</v>
      </c>
      <c r="G35" s="6">
        <v>2.1</v>
      </c>
      <c r="H35" s="6">
        <v>1703.1</v>
      </c>
      <c r="I35" s="6">
        <v>0.3</v>
      </c>
      <c r="J35" s="6">
        <v>14.5</v>
      </c>
      <c r="K35" s="6">
        <v>21548.81</v>
      </c>
      <c r="L35" s="2">
        <f t="shared" si="0"/>
        <v>32229.73</v>
      </c>
    </row>
    <row r="36" spans="1:12" x14ac:dyDescent="0.35">
      <c r="A36" s="5" t="s">
        <v>45</v>
      </c>
      <c r="B36" s="6">
        <v>743.99</v>
      </c>
      <c r="C36" s="6">
        <v>103.49</v>
      </c>
      <c r="D36" s="6">
        <v>11253.72</v>
      </c>
      <c r="E36" s="6">
        <v>33.25</v>
      </c>
      <c r="F36" s="6">
        <v>15.35</v>
      </c>
      <c r="G36" s="6">
        <v>2.1</v>
      </c>
      <c r="H36" s="6">
        <v>277.8</v>
      </c>
      <c r="I36" s="6">
        <v>0.4</v>
      </c>
      <c r="J36" s="6">
        <v>9.3000000000000007</v>
      </c>
      <c r="K36" s="6">
        <v>30890.1</v>
      </c>
      <c r="L36" s="2">
        <f t="shared" si="0"/>
        <v>43329.5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21.68</v>
      </c>
      <c r="D38" s="6">
        <v>7164.03</v>
      </c>
      <c r="E38" s="6">
        <v>4.68</v>
      </c>
      <c r="F38" s="6">
        <v>1.0900000000000001</v>
      </c>
      <c r="G38" s="6">
        <v>1.3</v>
      </c>
      <c r="H38" s="6">
        <v>164.6</v>
      </c>
      <c r="I38" s="6">
        <v>0</v>
      </c>
      <c r="J38" s="6">
        <v>5.9</v>
      </c>
      <c r="K38" s="6">
        <v>9469.74</v>
      </c>
      <c r="L38" s="2">
        <f t="shared" si="0"/>
        <v>16833.02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609.36</v>
      </c>
      <c r="C40" s="6">
        <v>7.73</v>
      </c>
      <c r="D40" s="6">
        <v>1754.43</v>
      </c>
      <c r="E40" s="6">
        <v>7.54</v>
      </c>
      <c r="F40" s="6">
        <v>0.11</v>
      </c>
      <c r="G40" s="6">
        <v>0.6</v>
      </c>
      <c r="H40" s="6">
        <v>48.6</v>
      </c>
      <c r="I40" s="6">
        <v>0.1</v>
      </c>
      <c r="J40" s="6">
        <v>0.1</v>
      </c>
      <c r="K40" s="6">
        <v>1748.25</v>
      </c>
      <c r="L40" s="2">
        <f t="shared" si="0"/>
        <v>4176.82</v>
      </c>
    </row>
    <row r="41" spans="1:12" x14ac:dyDescent="0.35">
      <c r="A41" s="5" t="s">
        <v>50</v>
      </c>
      <c r="B41" s="6">
        <v>2085.09</v>
      </c>
      <c r="C41" s="6">
        <v>16.899999999999999</v>
      </c>
      <c r="D41" s="6">
        <v>10646.89</v>
      </c>
      <c r="E41" s="6">
        <v>8.99</v>
      </c>
      <c r="F41" s="6">
        <v>1.53</v>
      </c>
      <c r="G41" s="6">
        <v>2.5</v>
      </c>
      <c r="H41" s="6">
        <v>377.8</v>
      </c>
      <c r="I41" s="6">
        <v>0</v>
      </c>
      <c r="J41" s="6">
        <v>7.6</v>
      </c>
      <c r="K41" s="6">
        <v>29008.43</v>
      </c>
      <c r="L41" s="2">
        <f t="shared" si="0"/>
        <v>42155.729999999996</v>
      </c>
    </row>
    <row r="42" spans="1:12" x14ac:dyDescent="0.35">
      <c r="A42" s="5" t="s">
        <v>51</v>
      </c>
      <c r="B42" s="6">
        <v>1713.64</v>
      </c>
      <c r="C42" s="6">
        <v>31.94</v>
      </c>
      <c r="D42" s="6">
        <v>6663.43</v>
      </c>
      <c r="E42" s="6">
        <v>6.25</v>
      </c>
      <c r="F42" s="6">
        <v>66.81</v>
      </c>
      <c r="G42" s="6">
        <v>1</v>
      </c>
      <c r="H42" s="6">
        <v>241.9</v>
      </c>
      <c r="I42" s="6">
        <v>0</v>
      </c>
      <c r="J42" s="6">
        <v>15.9</v>
      </c>
      <c r="K42" s="6">
        <v>8659.58</v>
      </c>
      <c r="L42" s="2">
        <f t="shared" si="0"/>
        <v>17400.449999999997</v>
      </c>
    </row>
    <row r="43" spans="1:12" x14ac:dyDescent="0.35">
      <c r="A43" s="5" t="s">
        <v>52</v>
      </c>
      <c r="B43" s="6">
        <v>1075.19</v>
      </c>
      <c r="C43" s="6">
        <v>36.42</v>
      </c>
      <c r="D43" s="6">
        <v>3585.84</v>
      </c>
      <c r="E43" s="6">
        <v>1.1100000000000001</v>
      </c>
      <c r="F43" s="6">
        <v>0.16</v>
      </c>
      <c r="G43" s="6">
        <v>0.1</v>
      </c>
      <c r="H43" s="6">
        <v>46.9</v>
      </c>
      <c r="I43" s="6">
        <v>0</v>
      </c>
      <c r="J43" s="6">
        <v>2.2999999999999998</v>
      </c>
      <c r="K43" s="6">
        <v>9174.09</v>
      </c>
      <c r="L43" s="2">
        <f t="shared" si="0"/>
        <v>13922.11</v>
      </c>
    </row>
    <row r="44" spans="1:12" x14ac:dyDescent="0.35">
      <c r="A44" s="5" t="s">
        <v>53</v>
      </c>
      <c r="B44" s="6">
        <v>1172.45</v>
      </c>
      <c r="C44" s="6">
        <v>30.96</v>
      </c>
      <c r="D44" s="6">
        <v>6059.81</v>
      </c>
      <c r="E44" s="6">
        <v>2.5499999999999998</v>
      </c>
      <c r="F44" s="6">
        <v>1.48</v>
      </c>
      <c r="G44" s="6">
        <v>0.6</v>
      </c>
      <c r="H44" s="6">
        <v>423.4</v>
      </c>
      <c r="I44" s="6">
        <v>0.4</v>
      </c>
      <c r="J44" s="6">
        <v>0.1</v>
      </c>
      <c r="K44" s="6">
        <v>8350.06</v>
      </c>
      <c r="L44" s="2">
        <f t="shared" si="0"/>
        <v>16041.81</v>
      </c>
    </row>
    <row r="45" spans="1:12" x14ac:dyDescent="0.35">
      <c r="A45" s="5" t="s">
        <v>54</v>
      </c>
      <c r="B45" s="6">
        <v>645.85</v>
      </c>
      <c r="C45" s="6">
        <v>10.08</v>
      </c>
      <c r="D45" s="6">
        <v>3200.08</v>
      </c>
      <c r="E45" s="6">
        <v>2.87</v>
      </c>
      <c r="F45" s="6">
        <v>0.02</v>
      </c>
      <c r="G45" s="6">
        <v>0.9</v>
      </c>
      <c r="H45" s="6">
        <v>31.9</v>
      </c>
      <c r="I45" s="6">
        <v>0</v>
      </c>
      <c r="J45" s="6">
        <v>2</v>
      </c>
      <c r="K45" s="6">
        <v>3748.58</v>
      </c>
      <c r="L45" s="2">
        <f t="shared" si="0"/>
        <v>7642.2800000000007</v>
      </c>
    </row>
    <row r="46" spans="1:12" x14ac:dyDescent="0.35">
      <c r="A46" s="5" t="s">
        <v>55</v>
      </c>
      <c r="B46" s="6">
        <v>0</v>
      </c>
      <c r="C46" s="6">
        <v>7.53</v>
      </c>
      <c r="D46" s="6">
        <v>1754.98</v>
      </c>
      <c r="E46" s="6">
        <v>0.46</v>
      </c>
      <c r="F46" s="6">
        <v>0.17</v>
      </c>
      <c r="G46" s="6">
        <v>0.4</v>
      </c>
      <c r="H46" s="6">
        <v>43</v>
      </c>
      <c r="I46" s="6">
        <v>0</v>
      </c>
      <c r="J46" s="6">
        <v>0.3</v>
      </c>
      <c r="K46" s="6">
        <v>3371.49</v>
      </c>
      <c r="L46" s="2">
        <f t="shared" si="0"/>
        <v>5178.33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576.03</v>
      </c>
      <c r="C48" s="6">
        <v>6.28</v>
      </c>
      <c r="D48" s="6">
        <v>3171.85</v>
      </c>
      <c r="E48" s="6">
        <v>8.65</v>
      </c>
      <c r="F48" s="6">
        <v>4.4000000000000004</v>
      </c>
      <c r="G48" s="6">
        <v>0.5</v>
      </c>
      <c r="H48" s="6">
        <v>50.4</v>
      </c>
      <c r="I48" s="6">
        <v>0</v>
      </c>
      <c r="J48" s="6">
        <v>2.9</v>
      </c>
      <c r="K48" s="6">
        <v>2400.2199999999998</v>
      </c>
      <c r="L48" s="2">
        <f t="shared" si="0"/>
        <v>6221.23</v>
      </c>
    </row>
    <row r="49" spans="1:12" x14ac:dyDescent="0.35">
      <c r="A49" s="5" t="s">
        <v>58</v>
      </c>
      <c r="B49" s="6">
        <v>278.33</v>
      </c>
      <c r="C49" s="6">
        <v>3.92</v>
      </c>
      <c r="D49" s="6">
        <v>1129.98</v>
      </c>
      <c r="E49" s="6">
        <v>0</v>
      </c>
      <c r="F49" s="6">
        <v>0.02</v>
      </c>
      <c r="G49" s="6">
        <v>0.9</v>
      </c>
      <c r="H49" s="6">
        <v>25.9</v>
      </c>
      <c r="I49" s="6">
        <v>0</v>
      </c>
      <c r="J49" s="6">
        <v>0.1</v>
      </c>
      <c r="K49" s="6">
        <v>1130.53</v>
      </c>
      <c r="L49" s="2">
        <f t="shared" si="0"/>
        <v>2569.6800000000003</v>
      </c>
    </row>
    <row r="50" spans="1:12" x14ac:dyDescent="0.35">
      <c r="A50" s="5" t="s">
        <v>59</v>
      </c>
      <c r="B50" s="6">
        <v>0</v>
      </c>
      <c r="C50" s="6">
        <v>12.82</v>
      </c>
      <c r="D50" s="6">
        <v>2109.27</v>
      </c>
      <c r="E50" s="6">
        <v>79.319999999999993</v>
      </c>
      <c r="F50" s="6">
        <v>0.31</v>
      </c>
      <c r="G50" s="6">
        <v>2.2000000000000002</v>
      </c>
      <c r="H50" s="6">
        <v>28.6</v>
      </c>
      <c r="I50" s="6">
        <v>0</v>
      </c>
      <c r="J50" s="6">
        <v>2</v>
      </c>
      <c r="K50" s="6">
        <v>3114.82</v>
      </c>
      <c r="L50" s="2">
        <f t="shared" si="0"/>
        <v>5349.34</v>
      </c>
    </row>
    <row r="51" spans="1:12" x14ac:dyDescent="0.35">
      <c r="A51" s="5" t="s">
        <v>60</v>
      </c>
      <c r="B51" s="6">
        <v>0</v>
      </c>
      <c r="C51" s="6">
        <v>0.53</v>
      </c>
      <c r="D51" s="6">
        <v>179.15</v>
      </c>
      <c r="E51" s="6">
        <v>0</v>
      </c>
      <c r="F51" s="6">
        <v>0</v>
      </c>
      <c r="G51" s="6">
        <v>0.1</v>
      </c>
      <c r="H51" s="6">
        <v>40.5</v>
      </c>
      <c r="I51" s="6">
        <v>0</v>
      </c>
      <c r="J51" s="6">
        <v>0</v>
      </c>
      <c r="K51" s="6">
        <v>764.15</v>
      </c>
      <c r="L51" s="2">
        <f t="shared" si="0"/>
        <v>984.43</v>
      </c>
    </row>
    <row r="52" spans="1:12" x14ac:dyDescent="0.35">
      <c r="A52" s="5" t="s">
        <v>61</v>
      </c>
      <c r="B52" s="6">
        <v>2976.32</v>
      </c>
      <c r="C52" s="6">
        <v>19.649999999999999</v>
      </c>
      <c r="D52" s="6">
        <v>8754.5499999999993</v>
      </c>
      <c r="E52" s="6">
        <v>13.08</v>
      </c>
      <c r="F52" s="6">
        <v>0.97</v>
      </c>
      <c r="G52" s="6">
        <v>4.8</v>
      </c>
      <c r="H52" s="6">
        <v>328.7</v>
      </c>
      <c r="I52" s="6">
        <v>0.3</v>
      </c>
      <c r="J52" s="6">
        <v>3.6</v>
      </c>
      <c r="K52" s="6">
        <v>9987.4599999999991</v>
      </c>
      <c r="L52" s="2">
        <f t="shared" si="0"/>
        <v>22089.43</v>
      </c>
    </row>
    <row r="53" spans="1:12" x14ac:dyDescent="0.35">
      <c r="A53" s="5" t="s">
        <v>62</v>
      </c>
      <c r="B53" s="6">
        <v>5766.53</v>
      </c>
      <c r="C53" s="6">
        <v>45.87</v>
      </c>
      <c r="D53" s="6">
        <v>21654.32</v>
      </c>
      <c r="E53" s="6">
        <v>33</v>
      </c>
      <c r="F53" s="6">
        <v>1.23</v>
      </c>
      <c r="G53" s="6">
        <v>12.3</v>
      </c>
      <c r="H53" s="6">
        <v>394.4</v>
      </c>
      <c r="I53" s="6">
        <v>0.8</v>
      </c>
      <c r="J53" s="6">
        <v>15.1</v>
      </c>
      <c r="K53" s="6">
        <v>90528.72</v>
      </c>
      <c r="L53" s="2">
        <f t="shared" si="0"/>
        <v>118452.27</v>
      </c>
    </row>
    <row r="54" spans="1:12" x14ac:dyDescent="0.35">
      <c r="A54" s="5" t="s">
        <v>63</v>
      </c>
      <c r="B54" s="6">
        <v>262.61</v>
      </c>
      <c r="C54" s="6">
        <v>36.270000000000003</v>
      </c>
      <c r="D54" s="6">
        <v>5303.11</v>
      </c>
      <c r="E54" s="6">
        <v>4.3099999999999996</v>
      </c>
      <c r="F54" s="6">
        <v>0.16</v>
      </c>
      <c r="G54" s="6">
        <v>1.1000000000000001</v>
      </c>
      <c r="H54" s="6">
        <v>226.9</v>
      </c>
      <c r="I54" s="6">
        <v>0</v>
      </c>
      <c r="J54" s="6">
        <v>3.5</v>
      </c>
      <c r="K54" s="6">
        <v>8853.15</v>
      </c>
      <c r="L54" s="2">
        <f t="shared" si="0"/>
        <v>14691.11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853.39</v>
      </c>
      <c r="C58" s="6">
        <v>18.32</v>
      </c>
      <c r="D58" s="6">
        <v>3220.05</v>
      </c>
      <c r="E58" s="6">
        <v>22.22</v>
      </c>
      <c r="F58" s="6">
        <v>1.06</v>
      </c>
      <c r="G58" s="6">
        <v>1.2</v>
      </c>
      <c r="H58" s="6">
        <v>73.5</v>
      </c>
      <c r="I58" s="6">
        <v>0.4</v>
      </c>
      <c r="J58" s="6">
        <v>2.6</v>
      </c>
      <c r="K58" s="6">
        <v>5093.8500000000004</v>
      </c>
      <c r="L58" s="2">
        <f t="shared" si="0"/>
        <v>9286.59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44938.65</v>
      </c>
      <c r="C60" s="7">
        <v>831.93</v>
      </c>
      <c r="D60" s="7">
        <v>228262.78</v>
      </c>
      <c r="E60" s="7">
        <v>542.92999999999995</v>
      </c>
      <c r="F60" s="7">
        <v>135.05000000000001</v>
      </c>
      <c r="G60" s="7">
        <v>85.9</v>
      </c>
      <c r="H60" s="7">
        <v>8128.7</v>
      </c>
      <c r="I60" s="7">
        <v>8.4</v>
      </c>
      <c r="J60" s="7">
        <v>141.1</v>
      </c>
      <c r="K60" s="7">
        <v>428680.59</v>
      </c>
      <c r="L60" s="2">
        <f t="shared" si="0"/>
        <v>711756.03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557A-BE65-42BC-B048-9DAD3B25042E}">
  <dimension ref="A1:L60"/>
  <sheetViews>
    <sheetView workbookViewId="0">
      <selection activeCell="L1" sqref="L1:L1048576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2240.5700000000002</v>
      </c>
      <c r="C2" s="6">
        <v>41.24</v>
      </c>
      <c r="D2" s="6">
        <v>7486.45</v>
      </c>
      <c r="E2" s="6">
        <v>32.58</v>
      </c>
      <c r="F2" s="6">
        <v>0.49</v>
      </c>
      <c r="G2" s="6">
        <v>1.1000000000000001</v>
      </c>
      <c r="H2" s="6">
        <v>71.599999999999994</v>
      </c>
      <c r="I2" s="6">
        <v>0.1</v>
      </c>
      <c r="J2" s="6">
        <v>5.5</v>
      </c>
      <c r="K2" s="6">
        <v>8141.08</v>
      </c>
      <c r="L2" s="2">
        <f>SUM(B2:K2)</f>
        <v>18020.71</v>
      </c>
    </row>
    <row r="3" spans="1:12" x14ac:dyDescent="0.35">
      <c r="A3" s="5" t="s">
        <v>12</v>
      </c>
      <c r="B3" s="6">
        <v>236.42</v>
      </c>
      <c r="C3" s="6">
        <v>1.8</v>
      </c>
      <c r="D3" s="6">
        <v>1131.26</v>
      </c>
      <c r="E3" s="6">
        <v>0.99</v>
      </c>
      <c r="F3" s="6">
        <v>0.09</v>
      </c>
      <c r="G3" s="6">
        <v>0.5</v>
      </c>
      <c r="H3" s="6">
        <v>20.399999999999999</v>
      </c>
      <c r="I3" s="6">
        <v>0</v>
      </c>
      <c r="J3" s="6">
        <v>0.3</v>
      </c>
      <c r="K3" s="6">
        <v>3335.41</v>
      </c>
      <c r="L3" s="2">
        <f t="shared" ref="L3:L60" si="0">SUM(B3:K3)</f>
        <v>4727.17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2769.63</v>
      </c>
      <c r="C6" s="6">
        <v>16.329999999999998</v>
      </c>
      <c r="D6" s="6">
        <v>8499.0400000000009</v>
      </c>
      <c r="E6" s="6">
        <v>68.459999999999994</v>
      </c>
      <c r="F6" s="6">
        <v>3.02</v>
      </c>
      <c r="G6" s="6">
        <v>1.8</v>
      </c>
      <c r="H6" s="6">
        <v>89</v>
      </c>
      <c r="I6" s="6">
        <v>0.2</v>
      </c>
      <c r="J6" s="6">
        <v>1.4</v>
      </c>
      <c r="K6" s="6">
        <v>9613.02</v>
      </c>
      <c r="L6" s="2">
        <f t="shared" si="0"/>
        <v>21061.9</v>
      </c>
    </row>
    <row r="7" spans="1:12" x14ac:dyDescent="0.35">
      <c r="A7" s="5" t="s">
        <v>16</v>
      </c>
      <c r="B7" s="6">
        <v>309.22000000000003</v>
      </c>
      <c r="C7" s="6">
        <v>8.1999999999999993</v>
      </c>
      <c r="D7" s="6">
        <v>4647.54</v>
      </c>
      <c r="E7" s="6">
        <v>22.02</v>
      </c>
      <c r="F7" s="6">
        <v>0.31</v>
      </c>
      <c r="G7" s="6">
        <v>1</v>
      </c>
      <c r="H7" s="6">
        <v>90</v>
      </c>
      <c r="I7" s="6">
        <v>0</v>
      </c>
      <c r="J7" s="6">
        <v>3.2</v>
      </c>
      <c r="K7" s="6">
        <v>7588.77</v>
      </c>
      <c r="L7" s="2">
        <f t="shared" si="0"/>
        <v>12670.260000000002</v>
      </c>
    </row>
    <row r="8" spans="1:12" x14ac:dyDescent="0.35">
      <c r="A8" s="5" t="s">
        <v>17</v>
      </c>
      <c r="B8" s="6">
        <v>1248.4100000000001</v>
      </c>
      <c r="C8" s="6">
        <v>22.78</v>
      </c>
      <c r="D8" s="6">
        <v>7794.33</v>
      </c>
      <c r="E8" s="6">
        <v>1.3</v>
      </c>
      <c r="F8" s="6">
        <v>0.3</v>
      </c>
      <c r="G8" s="6">
        <v>1.7</v>
      </c>
      <c r="H8" s="6">
        <v>155.5</v>
      </c>
      <c r="I8" s="6">
        <v>0</v>
      </c>
      <c r="J8" s="6">
        <v>2.1</v>
      </c>
      <c r="K8" s="6">
        <v>5908.27</v>
      </c>
      <c r="L8" s="2">
        <f t="shared" si="0"/>
        <v>15134.69</v>
      </c>
    </row>
    <row r="9" spans="1:12" x14ac:dyDescent="0.35">
      <c r="A9" s="5" t="s">
        <v>18</v>
      </c>
      <c r="B9" s="6">
        <v>5083.1000000000004</v>
      </c>
      <c r="C9" s="6">
        <v>12.67</v>
      </c>
      <c r="D9" s="6">
        <v>8076.34</v>
      </c>
      <c r="E9" s="6">
        <v>22.54</v>
      </c>
      <c r="F9" s="6">
        <v>1.51</v>
      </c>
      <c r="G9" s="6">
        <v>3.2</v>
      </c>
      <c r="H9" s="6">
        <v>148.4</v>
      </c>
      <c r="I9" s="6">
        <v>0</v>
      </c>
      <c r="J9" s="6">
        <v>2</v>
      </c>
      <c r="K9" s="6">
        <v>10160</v>
      </c>
      <c r="L9" s="2">
        <f t="shared" si="0"/>
        <v>23509.760000000002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3739.82</v>
      </c>
      <c r="C12" s="6">
        <v>44.17</v>
      </c>
      <c r="D12" s="6">
        <v>8476.7199999999993</v>
      </c>
      <c r="E12" s="6">
        <v>57.93</v>
      </c>
      <c r="F12" s="6">
        <v>1.1599999999999999</v>
      </c>
      <c r="G12" s="6">
        <v>6.7</v>
      </c>
      <c r="H12" s="6">
        <v>174.1</v>
      </c>
      <c r="I12" s="6">
        <v>0.5</v>
      </c>
      <c r="J12" s="6">
        <v>8.5</v>
      </c>
      <c r="K12" s="6">
        <v>29516.21</v>
      </c>
      <c r="L12" s="2">
        <f t="shared" si="0"/>
        <v>42025.81</v>
      </c>
    </row>
    <row r="13" spans="1:12" x14ac:dyDescent="0.35">
      <c r="A13" s="5" t="s">
        <v>22</v>
      </c>
      <c r="B13" s="6">
        <v>4208.1499999999996</v>
      </c>
      <c r="C13" s="6">
        <v>8.4700000000000006</v>
      </c>
      <c r="D13" s="6">
        <v>8016.26</v>
      </c>
      <c r="E13" s="6">
        <v>20.82</v>
      </c>
      <c r="F13" s="6">
        <v>2.5099999999999998</v>
      </c>
      <c r="G13" s="6">
        <v>7.4</v>
      </c>
      <c r="H13" s="6">
        <v>73.7</v>
      </c>
      <c r="I13" s="6">
        <v>0</v>
      </c>
      <c r="J13" s="6">
        <v>3</v>
      </c>
      <c r="K13" s="6">
        <v>27505.65</v>
      </c>
      <c r="L13" s="2">
        <f t="shared" si="0"/>
        <v>39845.960000000006</v>
      </c>
    </row>
    <row r="14" spans="1:12" x14ac:dyDescent="0.35">
      <c r="A14" s="5" t="s">
        <v>23</v>
      </c>
      <c r="B14" s="6">
        <v>499.92</v>
      </c>
      <c r="C14" s="6">
        <v>14.11</v>
      </c>
      <c r="D14" s="6">
        <v>1799.08</v>
      </c>
      <c r="E14" s="6">
        <v>0.43</v>
      </c>
      <c r="F14" s="6">
        <v>0.67</v>
      </c>
      <c r="G14" s="6">
        <v>0.9</v>
      </c>
      <c r="H14" s="6">
        <v>100.9</v>
      </c>
      <c r="I14" s="6">
        <v>0</v>
      </c>
      <c r="J14" s="6">
        <v>0.7</v>
      </c>
      <c r="K14" s="6">
        <v>5867.57</v>
      </c>
      <c r="L14" s="2">
        <f t="shared" si="0"/>
        <v>8284.2799999999988</v>
      </c>
    </row>
    <row r="15" spans="1:12" x14ac:dyDescent="0.35">
      <c r="A15" s="5" t="s">
        <v>24</v>
      </c>
      <c r="B15" s="6">
        <v>488.47</v>
      </c>
      <c r="C15" s="6">
        <v>3.99</v>
      </c>
      <c r="D15" s="6">
        <v>2618.56</v>
      </c>
      <c r="E15" s="6">
        <v>6.65</v>
      </c>
      <c r="F15" s="6">
        <v>0.16</v>
      </c>
      <c r="G15" s="6">
        <v>0.8</v>
      </c>
      <c r="H15" s="6">
        <v>36.9</v>
      </c>
      <c r="I15" s="6">
        <v>0</v>
      </c>
      <c r="J15" s="6">
        <v>1.3</v>
      </c>
      <c r="K15" s="6">
        <v>1548.36</v>
      </c>
      <c r="L15" s="2">
        <f t="shared" si="0"/>
        <v>4705.1900000000005</v>
      </c>
    </row>
    <row r="16" spans="1:12" x14ac:dyDescent="0.35">
      <c r="A16" s="5" t="s">
        <v>25</v>
      </c>
      <c r="B16" s="6">
        <v>187.53</v>
      </c>
      <c r="C16" s="6">
        <v>3.6</v>
      </c>
      <c r="D16" s="6">
        <v>1672.69</v>
      </c>
      <c r="E16" s="6">
        <v>1.55</v>
      </c>
      <c r="F16" s="6">
        <v>0.17</v>
      </c>
      <c r="G16" s="6">
        <v>0</v>
      </c>
      <c r="H16" s="6">
        <v>26.2</v>
      </c>
      <c r="I16" s="6">
        <v>0</v>
      </c>
      <c r="J16" s="6">
        <v>0.2</v>
      </c>
      <c r="K16" s="6">
        <v>1390.2</v>
      </c>
      <c r="L16" s="2">
        <f t="shared" si="0"/>
        <v>3282.1400000000003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2215.4499999999998</v>
      </c>
      <c r="C18" s="6">
        <v>11.43</v>
      </c>
      <c r="D18" s="6">
        <v>5075.1000000000004</v>
      </c>
      <c r="E18" s="6">
        <v>3.74</v>
      </c>
      <c r="F18" s="6">
        <v>2.31</v>
      </c>
      <c r="G18" s="6">
        <v>0.8</v>
      </c>
      <c r="H18" s="6">
        <v>104.6</v>
      </c>
      <c r="I18" s="6">
        <v>0</v>
      </c>
      <c r="J18" s="6">
        <v>5.3</v>
      </c>
      <c r="K18" s="6">
        <v>17364.59</v>
      </c>
      <c r="L18" s="2">
        <f t="shared" si="0"/>
        <v>24783.32</v>
      </c>
    </row>
    <row r="19" spans="1:12" x14ac:dyDescent="0.35">
      <c r="A19" s="5" t="s">
        <v>28</v>
      </c>
      <c r="B19" s="6">
        <v>1983.35</v>
      </c>
      <c r="C19" s="6">
        <v>17.850000000000001</v>
      </c>
      <c r="D19" s="6">
        <v>5410.05</v>
      </c>
      <c r="E19" s="6">
        <v>7.61</v>
      </c>
      <c r="F19" s="6">
        <v>1.36</v>
      </c>
      <c r="G19" s="6">
        <v>0.8</v>
      </c>
      <c r="H19" s="6">
        <v>124.4</v>
      </c>
      <c r="I19" s="6">
        <v>0</v>
      </c>
      <c r="J19" s="6">
        <v>0.7</v>
      </c>
      <c r="K19" s="6">
        <v>6530.09</v>
      </c>
      <c r="L19" s="2">
        <f t="shared" si="0"/>
        <v>14076.21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1402.35</v>
      </c>
      <c r="C21" s="6">
        <v>6.6</v>
      </c>
      <c r="D21" s="6">
        <v>4246.33</v>
      </c>
      <c r="E21" s="6">
        <v>1.69</v>
      </c>
      <c r="F21" s="6">
        <v>0.15</v>
      </c>
      <c r="G21" s="6">
        <v>1.5</v>
      </c>
      <c r="H21" s="6">
        <v>71.400000000000006</v>
      </c>
      <c r="I21" s="6">
        <v>0</v>
      </c>
      <c r="J21" s="6">
        <v>0.6</v>
      </c>
      <c r="K21" s="6">
        <v>3948.59</v>
      </c>
      <c r="L21" s="2">
        <f t="shared" si="0"/>
        <v>9679.2099999999991</v>
      </c>
    </row>
    <row r="22" spans="1:12" x14ac:dyDescent="0.35">
      <c r="A22" s="5" t="s">
        <v>31</v>
      </c>
      <c r="B22" s="6">
        <v>1344.64</v>
      </c>
      <c r="C22" s="6">
        <v>8.76</v>
      </c>
      <c r="D22" s="6">
        <v>1846.43</v>
      </c>
      <c r="E22" s="6">
        <v>0.01</v>
      </c>
      <c r="F22" s="6">
        <v>0</v>
      </c>
      <c r="G22" s="6">
        <v>0.4</v>
      </c>
      <c r="H22" s="6">
        <v>58.3</v>
      </c>
      <c r="I22" s="6">
        <v>0.1</v>
      </c>
      <c r="J22" s="6">
        <v>0.2</v>
      </c>
      <c r="K22" s="6">
        <v>8419.51</v>
      </c>
      <c r="L22" s="2">
        <f t="shared" si="0"/>
        <v>11678.35</v>
      </c>
    </row>
    <row r="23" spans="1:12" x14ac:dyDescent="0.35">
      <c r="A23" s="5" t="s">
        <v>32</v>
      </c>
      <c r="B23" s="6">
        <v>2854.22</v>
      </c>
      <c r="C23" s="6">
        <v>17.18</v>
      </c>
      <c r="D23" s="6">
        <v>7797.66</v>
      </c>
      <c r="E23" s="6">
        <v>11.44</v>
      </c>
      <c r="F23" s="6">
        <v>12.07</v>
      </c>
      <c r="G23" s="6">
        <v>4.4000000000000004</v>
      </c>
      <c r="H23" s="6">
        <v>287</v>
      </c>
      <c r="I23" s="6">
        <v>0.1</v>
      </c>
      <c r="J23" s="6">
        <v>4.3</v>
      </c>
      <c r="K23" s="6">
        <v>18184.060000000001</v>
      </c>
      <c r="L23" s="2">
        <f t="shared" si="0"/>
        <v>29172.43</v>
      </c>
    </row>
    <row r="24" spans="1:12" x14ac:dyDescent="0.35">
      <c r="A24" s="5" t="s">
        <v>33</v>
      </c>
      <c r="B24" s="6">
        <v>1399.46</v>
      </c>
      <c r="C24" s="6">
        <v>20.2</v>
      </c>
      <c r="D24" s="6">
        <v>6056.81</v>
      </c>
      <c r="E24" s="6">
        <v>8.1999999999999993</v>
      </c>
      <c r="F24" s="6">
        <v>0.01</v>
      </c>
      <c r="G24" s="6">
        <v>0.4</v>
      </c>
      <c r="H24" s="6">
        <v>130.9</v>
      </c>
      <c r="I24" s="6">
        <v>0</v>
      </c>
      <c r="J24" s="6">
        <v>2.7</v>
      </c>
      <c r="K24" s="6">
        <v>2733.78</v>
      </c>
      <c r="L24" s="2">
        <f t="shared" si="0"/>
        <v>10352.459999999999</v>
      </c>
    </row>
    <row r="25" spans="1:12" x14ac:dyDescent="0.35">
      <c r="A25" s="5" t="s">
        <v>34</v>
      </c>
      <c r="B25" s="6">
        <v>874.52</v>
      </c>
      <c r="C25" s="6">
        <v>15.08</v>
      </c>
      <c r="D25" s="6">
        <v>5063.29</v>
      </c>
      <c r="E25" s="6">
        <v>1.0900000000000001</v>
      </c>
      <c r="F25" s="6">
        <v>1.0900000000000001</v>
      </c>
      <c r="G25" s="6">
        <v>7.1</v>
      </c>
      <c r="H25" s="6">
        <v>72.900000000000006</v>
      </c>
      <c r="I25" s="6">
        <v>0.1</v>
      </c>
      <c r="J25" s="6">
        <v>4.3</v>
      </c>
      <c r="K25" s="6">
        <v>3988.35</v>
      </c>
      <c r="L25" s="2">
        <f t="shared" si="0"/>
        <v>10027.820000000002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739.9</v>
      </c>
      <c r="C27" s="6">
        <v>15.75</v>
      </c>
      <c r="D27" s="6">
        <v>3936.57</v>
      </c>
      <c r="E27" s="6">
        <v>2.29</v>
      </c>
      <c r="F27" s="6">
        <v>1.29</v>
      </c>
      <c r="G27" s="6">
        <v>1.2</v>
      </c>
      <c r="H27" s="6">
        <v>127.3</v>
      </c>
      <c r="I27" s="6">
        <v>0.1</v>
      </c>
      <c r="J27" s="6">
        <v>3.5</v>
      </c>
      <c r="K27" s="6">
        <v>9477.34</v>
      </c>
      <c r="L27" s="2">
        <f t="shared" si="0"/>
        <v>14305.240000000002</v>
      </c>
    </row>
    <row r="28" spans="1:12" x14ac:dyDescent="0.35">
      <c r="A28" s="5" t="s">
        <v>37</v>
      </c>
      <c r="B28" s="6">
        <v>1626.42</v>
      </c>
      <c r="C28" s="6">
        <v>44.08</v>
      </c>
      <c r="D28" s="6">
        <v>8347.31</v>
      </c>
      <c r="E28" s="6">
        <v>17.600000000000001</v>
      </c>
      <c r="F28" s="6">
        <v>36.75</v>
      </c>
      <c r="G28" s="6">
        <v>2.2000000000000002</v>
      </c>
      <c r="H28" s="6">
        <v>149.9</v>
      </c>
      <c r="I28" s="6">
        <v>0</v>
      </c>
      <c r="J28" s="6">
        <v>4.7</v>
      </c>
      <c r="K28" s="6">
        <v>19560.46</v>
      </c>
      <c r="L28" s="2">
        <f t="shared" si="0"/>
        <v>29789.42</v>
      </c>
    </row>
    <row r="29" spans="1:12" x14ac:dyDescent="0.35">
      <c r="A29" s="5" t="s">
        <v>38</v>
      </c>
      <c r="B29" s="6">
        <v>833.07</v>
      </c>
      <c r="C29" s="6">
        <v>13.89</v>
      </c>
      <c r="D29" s="6">
        <v>4908.46</v>
      </c>
      <c r="E29" s="6">
        <v>13.22</v>
      </c>
      <c r="F29" s="6">
        <v>2.4500000000000002</v>
      </c>
      <c r="G29" s="6">
        <v>0.7</v>
      </c>
      <c r="H29" s="6">
        <v>94.8</v>
      </c>
      <c r="I29" s="6">
        <v>0</v>
      </c>
      <c r="J29" s="6">
        <v>0.8</v>
      </c>
      <c r="K29" s="6">
        <v>1772.85</v>
      </c>
      <c r="L29" s="2">
        <f t="shared" si="0"/>
        <v>7640.24</v>
      </c>
    </row>
    <row r="30" spans="1:12" x14ac:dyDescent="0.35">
      <c r="A30" s="5" t="s">
        <v>39</v>
      </c>
      <c r="B30" s="6">
        <v>1426.51</v>
      </c>
      <c r="C30" s="6">
        <v>14.35</v>
      </c>
      <c r="D30" s="6">
        <v>5125.9799999999996</v>
      </c>
      <c r="E30" s="6">
        <v>3.05</v>
      </c>
      <c r="F30" s="6">
        <v>0.24</v>
      </c>
      <c r="G30" s="6">
        <v>0.8</v>
      </c>
      <c r="H30" s="6">
        <v>220.6</v>
      </c>
      <c r="I30" s="6">
        <v>0.1</v>
      </c>
      <c r="J30" s="6">
        <v>2.8</v>
      </c>
      <c r="K30" s="6">
        <v>13770.55</v>
      </c>
      <c r="L30" s="2">
        <f t="shared" si="0"/>
        <v>20564.98</v>
      </c>
    </row>
    <row r="31" spans="1:12" x14ac:dyDescent="0.35">
      <c r="A31" s="5" t="s">
        <v>40</v>
      </c>
      <c r="B31" s="6">
        <v>4282.9399999999996</v>
      </c>
      <c r="C31" s="6">
        <v>36.659999999999997</v>
      </c>
      <c r="D31" s="6">
        <v>11673</v>
      </c>
      <c r="E31" s="6">
        <v>19.809999999999999</v>
      </c>
      <c r="F31" s="6">
        <v>3.18</v>
      </c>
      <c r="G31" s="6">
        <v>0.5</v>
      </c>
      <c r="H31" s="6">
        <v>592.6</v>
      </c>
      <c r="I31" s="6">
        <v>0.1</v>
      </c>
      <c r="J31" s="6">
        <v>2.6</v>
      </c>
      <c r="K31" s="6">
        <v>8973.8700000000008</v>
      </c>
      <c r="L31" s="2">
        <f t="shared" si="0"/>
        <v>25585.259999999995</v>
      </c>
    </row>
    <row r="32" spans="1:12" x14ac:dyDescent="0.35">
      <c r="A32" s="5" t="s">
        <v>41</v>
      </c>
      <c r="B32" s="6">
        <v>2095.85</v>
      </c>
      <c r="C32" s="6">
        <v>40.549999999999997</v>
      </c>
      <c r="D32" s="6">
        <v>8621.0300000000007</v>
      </c>
      <c r="E32" s="6">
        <v>21.8</v>
      </c>
      <c r="F32" s="6">
        <v>0.28999999999999998</v>
      </c>
      <c r="G32" s="6">
        <v>1.2</v>
      </c>
      <c r="H32" s="6">
        <v>456.1</v>
      </c>
      <c r="I32" s="6">
        <v>0.1</v>
      </c>
      <c r="J32" s="6">
        <v>3.5</v>
      </c>
      <c r="K32" s="6">
        <v>15156.55</v>
      </c>
      <c r="L32" s="2">
        <f t="shared" si="0"/>
        <v>26396.97</v>
      </c>
    </row>
    <row r="33" spans="1:12" x14ac:dyDescent="0.35">
      <c r="A33" s="5" t="s">
        <v>42</v>
      </c>
      <c r="B33" s="6">
        <v>220.65</v>
      </c>
      <c r="C33" s="6">
        <v>7.13</v>
      </c>
      <c r="D33" s="6">
        <v>1442.71</v>
      </c>
      <c r="E33" s="6">
        <v>0.28999999999999998</v>
      </c>
      <c r="F33" s="6">
        <v>0</v>
      </c>
      <c r="G33" s="6">
        <v>0.1</v>
      </c>
      <c r="H33" s="6">
        <v>13</v>
      </c>
      <c r="I33" s="6">
        <v>0</v>
      </c>
      <c r="J33" s="6">
        <v>0.1</v>
      </c>
      <c r="K33" s="6">
        <v>470.04</v>
      </c>
      <c r="L33" s="2">
        <f t="shared" si="0"/>
        <v>2154.02</v>
      </c>
    </row>
    <row r="34" spans="1:12" x14ac:dyDescent="0.35">
      <c r="A34" s="5" t="s">
        <v>43</v>
      </c>
      <c r="B34" s="6">
        <v>212.35</v>
      </c>
      <c r="C34" s="6">
        <v>2.59</v>
      </c>
      <c r="D34" s="6">
        <v>798.23</v>
      </c>
      <c r="E34" s="6">
        <v>0.62</v>
      </c>
      <c r="F34" s="6">
        <v>0.85</v>
      </c>
      <c r="G34" s="6">
        <v>0.5</v>
      </c>
      <c r="H34" s="6">
        <v>57.4</v>
      </c>
      <c r="I34" s="6">
        <v>0</v>
      </c>
      <c r="J34" s="6">
        <v>2.2000000000000002</v>
      </c>
      <c r="K34" s="6">
        <v>662.78</v>
      </c>
      <c r="L34" s="2">
        <f t="shared" si="0"/>
        <v>1737.5200000000002</v>
      </c>
    </row>
    <row r="35" spans="1:12" x14ac:dyDescent="0.35">
      <c r="A35" s="5" t="s">
        <v>44</v>
      </c>
      <c r="B35" s="6">
        <v>2431.2800000000002</v>
      </c>
      <c r="C35" s="6">
        <v>33.79</v>
      </c>
      <c r="D35" s="6">
        <v>7627.88</v>
      </c>
      <c r="E35" s="6">
        <v>0</v>
      </c>
      <c r="F35" s="6">
        <v>0.8</v>
      </c>
      <c r="G35" s="6">
        <v>0.6</v>
      </c>
      <c r="H35" s="6">
        <v>671.5</v>
      </c>
      <c r="I35" s="6">
        <v>0</v>
      </c>
      <c r="J35" s="6">
        <v>6.9</v>
      </c>
      <c r="K35" s="6">
        <v>21831.07</v>
      </c>
      <c r="L35" s="2">
        <f t="shared" si="0"/>
        <v>32603.82</v>
      </c>
    </row>
    <row r="36" spans="1:12" x14ac:dyDescent="0.35">
      <c r="A36" s="5" t="s">
        <v>45</v>
      </c>
      <c r="B36" s="6">
        <v>1143.3599999999999</v>
      </c>
      <c r="C36" s="6">
        <v>81.02</v>
      </c>
      <c r="D36" s="6">
        <v>11642.12</v>
      </c>
      <c r="E36" s="6">
        <v>37.229999999999997</v>
      </c>
      <c r="F36" s="6">
        <v>14.01</v>
      </c>
      <c r="G36" s="6">
        <v>1.4</v>
      </c>
      <c r="H36" s="6">
        <v>299.7</v>
      </c>
      <c r="I36" s="6">
        <v>0.1</v>
      </c>
      <c r="J36" s="6">
        <v>5.9</v>
      </c>
      <c r="K36" s="6">
        <v>33729.839999999997</v>
      </c>
      <c r="L36" s="2">
        <f t="shared" si="0"/>
        <v>46954.679999999993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1786.71</v>
      </c>
      <c r="C38" s="6">
        <v>34.409999999999997</v>
      </c>
      <c r="D38" s="6">
        <v>7125.83</v>
      </c>
      <c r="E38" s="6">
        <v>7.39</v>
      </c>
      <c r="F38" s="6">
        <v>0.4</v>
      </c>
      <c r="G38" s="6">
        <v>1.9</v>
      </c>
      <c r="H38" s="6">
        <v>241.1</v>
      </c>
      <c r="I38" s="6">
        <v>0.1</v>
      </c>
      <c r="J38" s="6">
        <v>20.6</v>
      </c>
      <c r="K38" s="6">
        <v>9258.2000000000007</v>
      </c>
      <c r="L38" s="2">
        <f t="shared" si="0"/>
        <v>18476.64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266.75</v>
      </c>
      <c r="C40" s="6">
        <v>5.99</v>
      </c>
      <c r="D40" s="6">
        <v>1366.28</v>
      </c>
      <c r="E40" s="6">
        <v>0.98</v>
      </c>
      <c r="F40" s="6">
        <v>0.46</v>
      </c>
      <c r="G40" s="6">
        <v>0.1</v>
      </c>
      <c r="H40" s="6">
        <v>5.6</v>
      </c>
      <c r="I40" s="6">
        <v>0.1</v>
      </c>
      <c r="J40" s="6">
        <v>0.2</v>
      </c>
      <c r="K40" s="6">
        <v>1498.41</v>
      </c>
      <c r="L40" s="2">
        <f t="shared" si="0"/>
        <v>3144.87</v>
      </c>
    </row>
    <row r="41" spans="1:12" x14ac:dyDescent="0.35">
      <c r="A41" s="5" t="s">
        <v>50</v>
      </c>
      <c r="B41" s="6">
        <v>2335.87</v>
      </c>
      <c r="C41" s="6">
        <v>19.95</v>
      </c>
      <c r="D41" s="6">
        <v>9086.1299999999992</v>
      </c>
      <c r="E41" s="6">
        <v>5.61</v>
      </c>
      <c r="F41" s="6">
        <v>4.7699999999999996</v>
      </c>
      <c r="G41" s="6">
        <v>0.6</v>
      </c>
      <c r="H41" s="6">
        <v>348.1</v>
      </c>
      <c r="I41" s="6">
        <v>0</v>
      </c>
      <c r="J41" s="6">
        <v>4.7</v>
      </c>
      <c r="K41" s="6">
        <v>23591.31</v>
      </c>
      <c r="L41" s="2">
        <f t="shared" si="0"/>
        <v>35397.040000000001</v>
      </c>
    </row>
    <row r="42" spans="1:12" x14ac:dyDescent="0.35">
      <c r="A42" s="5" t="s">
        <v>51</v>
      </c>
      <c r="B42" s="6">
        <v>2645.84</v>
      </c>
      <c r="C42" s="6">
        <v>39.89</v>
      </c>
      <c r="D42" s="6">
        <v>7945.77</v>
      </c>
      <c r="E42" s="6">
        <v>14.26</v>
      </c>
      <c r="F42" s="6">
        <v>0.92</v>
      </c>
      <c r="G42" s="6">
        <v>1.1000000000000001</v>
      </c>
      <c r="H42" s="6">
        <v>318.60000000000002</v>
      </c>
      <c r="I42" s="6">
        <v>0</v>
      </c>
      <c r="J42" s="6">
        <v>0.9</v>
      </c>
      <c r="K42" s="6">
        <v>6865.95</v>
      </c>
      <c r="L42" s="2">
        <f t="shared" si="0"/>
        <v>17833.23</v>
      </c>
    </row>
    <row r="43" spans="1:12" x14ac:dyDescent="0.35">
      <c r="A43" s="5" t="s">
        <v>52</v>
      </c>
      <c r="B43" s="6">
        <v>1173.33</v>
      </c>
      <c r="C43" s="6">
        <v>40.35</v>
      </c>
      <c r="D43" s="6">
        <v>3418.45</v>
      </c>
      <c r="E43" s="6">
        <v>1</v>
      </c>
      <c r="F43" s="6">
        <v>0.01</v>
      </c>
      <c r="G43" s="6">
        <v>0.6</v>
      </c>
      <c r="H43" s="6">
        <v>57.5</v>
      </c>
      <c r="I43" s="6">
        <v>0.1</v>
      </c>
      <c r="J43" s="6">
        <v>0.7</v>
      </c>
      <c r="K43" s="6">
        <v>10671.59</v>
      </c>
      <c r="L43" s="2">
        <f t="shared" si="0"/>
        <v>15363.630000000001</v>
      </c>
    </row>
    <row r="44" spans="1:12" x14ac:dyDescent="0.35">
      <c r="A44" s="5" t="s">
        <v>53</v>
      </c>
      <c r="B44" s="6">
        <v>2230.7399999999998</v>
      </c>
      <c r="C44" s="6">
        <v>42.6</v>
      </c>
      <c r="D44" s="6">
        <v>6414.85</v>
      </c>
      <c r="E44" s="6">
        <v>2.4500000000000002</v>
      </c>
      <c r="F44" s="6">
        <v>2.97</v>
      </c>
      <c r="G44" s="6">
        <v>0.3</v>
      </c>
      <c r="H44" s="6">
        <v>238.1</v>
      </c>
      <c r="I44" s="6">
        <v>0</v>
      </c>
      <c r="J44" s="6">
        <v>8.6999999999999993</v>
      </c>
      <c r="K44" s="6">
        <v>10532.87</v>
      </c>
      <c r="L44" s="2">
        <f t="shared" si="0"/>
        <v>19473.580000000002</v>
      </c>
    </row>
    <row r="45" spans="1:12" x14ac:dyDescent="0.35">
      <c r="A45" s="5" t="s">
        <v>54</v>
      </c>
      <c r="B45" s="6">
        <v>769.38</v>
      </c>
      <c r="C45" s="6">
        <v>11.33</v>
      </c>
      <c r="D45" s="6">
        <v>2892.32</v>
      </c>
      <c r="E45" s="6">
        <v>0.97</v>
      </c>
      <c r="F45" s="6">
        <v>0.38</v>
      </c>
      <c r="G45" s="6">
        <v>1.8</v>
      </c>
      <c r="H45" s="6">
        <v>42.9</v>
      </c>
      <c r="I45" s="6">
        <v>0</v>
      </c>
      <c r="J45" s="6">
        <v>1</v>
      </c>
      <c r="K45" s="6">
        <v>2810.63</v>
      </c>
      <c r="L45" s="2">
        <f t="shared" si="0"/>
        <v>6530.7100000000009</v>
      </c>
    </row>
    <row r="46" spans="1:12" x14ac:dyDescent="0.35">
      <c r="A46" s="5" t="s">
        <v>55</v>
      </c>
      <c r="B46" s="6">
        <v>1831.66</v>
      </c>
      <c r="C46" s="6">
        <v>23</v>
      </c>
      <c r="D46" s="6">
        <v>5796.64</v>
      </c>
      <c r="E46" s="6">
        <v>6.61</v>
      </c>
      <c r="F46" s="6">
        <v>0.63</v>
      </c>
      <c r="G46" s="6">
        <v>0.7</v>
      </c>
      <c r="H46" s="6">
        <v>138</v>
      </c>
      <c r="I46" s="6">
        <v>0.2</v>
      </c>
      <c r="J46" s="6">
        <v>2.7</v>
      </c>
      <c r="K46" s="6">
        <v>12654.97</v>
      </c>
      <c r="L46" s="2">
        <f t="shared" si="0"/>
        <v>20455.11</v>
      </c>
    </row>
    <row r="47" spans="1:12" x14ac:dyDescent="0.35">
      <c r="A47" s="5" t="s">
        <v>56</v>
      </c>
      <c r="B47" s="6">
        <v>3442.78</v>
      </c>
      <c r="C47" s="6">
        <v>45.68</v>
      </c>
      <c r="D47" s="6">
        <v>7847.43</v>
      </c>
      <c r="E47" s="6">
        <v>8.5399999999999991</v>
      </c>
      <c r="F47" s="6">
        <v>2.85</v>
      </c>
      <c r="G47" s="6">
        <v>14.1</v>
      </c>
      <c r="H47" s="6">
        <v>129.19999999999999</v>
      </c>
      <c r="I47" s="6">
        <v>0.2</v>
      </c>
      <c r="J47" s="6">
        <v>6</v>
      </c>
      <c r="K47" s="6">
        <v>17066.57</v>
      </c>
      <c r="L47" s="2">
        <f t="shared" si="0"/>
        <v>28563.350000000002</v>
      </c>
    </row>
    <row r="48" spans="1:12" x14ac:dyDescent="0.35">
      <c r="A48" s="5" t="s">
        <v>57</v>
      </c>
      <c r="B48" s="6">
        <v>659</v>
      </c>
      <c r="C48" s="6">
        <v>7.26</v>
      </c>
      <c r="D48" s="6">
        <v>3421.42</v>
      </c>
      <c r="E48" s="6">
        <v>6.66</v>
      </c>
      <c r="F48" s="6">
        <v>0.44</v>
      </c>
      <c r="G48" s="6">
        <v>0.2</v>
      </c>
      <c r="H48" s="6">
        <v>47.3</v>
      </c>
      <c r="I48" s="6">
        <v>0.3</v>
      </c>
      <c r="J48" s="6">
        <v>1.3</v>
      </c>
      <c r="K48" s="6">
        <v>4260.84</v>
      </c>
      <c r="L48" s="2">
        <f t="shared" si="0"/>
        <v>8404.7200000000012</v>
      </c>
    </row>
    <row r="49" spans="1:12" x14ac:dyDescent="0.35">
      <c r="A49" s="5" t="s">
        <v>58</v>
      </c>
      <c r="B49" s="6">
        <v>305.89999999999998</v>
      </c>
      <c r="C49" s="6">
        <v>2.2000000000000002</v>
      </c>
      <c r="D49" s="6">
        <v>1768.25</v>
      </c>
      <c r="E49" s="6">
        <v>2.67</v>
      </c>
      <c r="F49" s="6">
        <v>0.28999999999999998</v>
      </c>
      <c r="G49" s="6">
        <v>1.2</v>
      </c>
      <c r="H49" s="6">
        <v>73.400000000000006</v>
      </c>
      <c r="I49" s="6">
        <v>0</v>
      </c>
      <c r="J49" s="6">
        <v>1.2</v>
      </c>
      <c r="K49" s="6">
        <v>884.95</v>
      </c>
      <c r="L49" s="2">
        <f t="shared" si="0"/>
        <v>3040.0599999999995</v>
      </c>
    </row>
    <row r="50" spans="1:12" x14ac:dyDescent="0.35">
      <c r="A50" s="5" t="s">
        <v>59</v>
      </c>
      <c r="B50" s="6">
        <v>2338.96</v>
      </c>
      <c r="C50" s="6">
        <v>49.68</v>
      </c>
      <c r="D50" s="6">
        <v>8164.49</v>
      </c>
      <c r="E50" s="6">
        <v>92.55</v>
      </c>
      <c r="F50" s="6">
        <v>0.64</v>
      </c>
      <c r="G50" s="6">
        <v>4.2</v>
      </c>
      <c r="H50" s="6">
        <v>144</v>
      </c>
      <c r="I50" s="6">
        <v>0.3</v>
      </c>
      <c r="J50" s="6">
        <v>6.3</v>
      </c>
      <c r="K50" s="6">
        <v>13488.61</v>
      </c>
      <c r="L50" s="2">
        <f t="shared" si="0"/>
        <v>24289.729999999996</v>
      </c>
    </row>
    <row r="51" spans="1:12" x14ac:dyDescent="0.35">
      <c r="A51" s="5" t="s">
        <v>60</v>
      </c>
      <c r="B51" s="6">
        <v>1034.1500000000001</v>
      </c>
      <c r="C51" s="6">
        <v>9.27</v>
      </c>
      <c r="D51" s="6">
        <v>3419.41</v>
      </c>
      <c r="E51" s="6">
        <v>1.61</v>
      </c>
      <c r="F51" s="6">
        <v>0.65</v>
      </c>
      <c r="G51" s="6">
        <v>0.5</v>
      </c>
      <c r="H51" s="6">
        <v>346</v>
      </c>
      <c r="I51" s="6">
        <v>0.1</v>
      </c>
      <c r="J51" s="6">
        <v>0.8</v>
      </c>
      <c r="K51" s="6">
        <v>11518.62</v>
      </c>
      <c r="L51" s="2">
        <f t="shared" si="0"/>
        <v>16331.11</v>
      </c>
    </row>
    <row r="52" spans="1:12" x14ac:dyDescent="0.35">
      <c r="A52" s="5" t="s">
        <v>61</v>
      </c>
      <c r="B52" s="6">
        <v>4155.59</v>
      </c>
      <c r="C52" s="6">
        <v>30.55</v>
      </c>
      <c r="D52" s="6">
        <v>9960.5400000000009</v>
      </c>
      <c r="E52" s="6">
        <v>31.32</v>
      </c>
      <c r="F52" s="6">
        <v>1</v>
      </c>
      <c r="G52" s="6">
        <v>3.5</v>
      </c>
      <c r="H52" s="6">
        <v>209.5</v>
      </c>
      <c r="I52" s="6">
        <v>0.3</v>
      </c>
      <c r="J52" s="6">
        <v>0.9</v>
      </c>
      <c r="K52" s="6">
        <v>11228.01</v>
      </c>
      <c r="L52" s="2">
        <f t="shared" si="0"/>
        <v>25621.21</v>
      </c>
    </row>
    <row r="53" spans="1:12" x14ac:dyDescent="0.35">
      <c r="A53" s="5" t="s">
        <v>62</v>
      </c>
      <c r="B53" s="6">
        <v>6820.07</v>
      </c>
      <c r="C53" s="6">
        <v>54.28</v>
      </c>
      <c r="D53" s="6">
        <v>22922.44</v>
      </c>
      <c r="E53" s="6">
        <v>28.81</v>
      </c>
      <c r="F53" s="6">
        <v>3.62</v>
      </c>
      <c r="G53" s="6">
        <v>9.4</v>
      </c>
      <c r="H53" s="6">
        <v>409</v>
      </c>
      <c r="I53" s="6">
        <v>0.2</v>
      </c>
      <c r="J53" s="6">
        <v>15.3</v>
      </c>
      <c r="K53" s="6">
        <v>89082.44</v>
      </c>
      <c r="L53" s="2">
        <f t="shared" si="0"/>
        <v>119345.56</v>
      </c>
    </row>
    <row r="54" spans="1:12" x14ac:dyDescent="0.35">
      <c r="A54" s="5" t="s">
        <v>63</v>
      </c>
      <c r="B54" s="6">
        <v>877.88</v>
      </c>
      <c r="C54" s="6">
        <v>28.51</v>
      </c>
      <c r="D54" s="6">
        <v>8545.85</v>
      </c>
      <c r="E54" s="6">
        <v>13.59</v>
      </c>
      <c r="F54" s="6">
        <v>1.58</v>
      </c>
      <c r="G54" s="6">
        <v>0.8</v>
      </c>
      <c r="H54" s="6">
        <v>429.5</v>
      </c>
      <c r="I54" s="6">
        <v>0.1</v>
      </c>
      <c r="J54" s="6">
        <v>8</v>
      </c>
      <c r="K54" s="6">
        <v>9713.4599999999991</v>
      </c>
      <c r="L54" s="2">
        <f t="shared" si="0"/>
        <v>19619.269999999997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903.46</v>
      </c>
      <c r="C56" s="6">
        <v>15.24</v>
      </c>
      <c r="D56" s="6">
        <v>3334</v>
      </c>
      <c r="E56" s="6">
        <v>23.72</v>
      </c>
      <c r="F56" s="6">
        <v>0.06</v>
      </c>
      <c r="G56" s="6">
        <v>4.5</v>
      </c>
      <c r="H56" s="6">
        <v>53.6</v>
      </c>
      <c r="I56" s="6">
        <v>0.4</v>
      </c>
      <c r="J56" s="6">
        <v>0.6</v>
      </c>
      <c r="K56" s="6">
        <v>2759.27</v>
      </c>
      <c r="L56" s="2">
        <f t="shared" si="0"/>
        <v>7094.85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781.43</v>
      </c>
      <c r="C58" s="6">
        <v>15.05</v>
      </c>
      <c r="D58" s="6">
        <v>2665.41</v>
      </c>
      <c r="E58" s="6">
        <v>16.09</v>
      </c>
      <c r="F58" s="6">
        <v>0.15</v>
      </c>
      <c r="G58" s="6">
        <v>0.2</v>
      </c>
      <c r="H58" s="6">
        <v>61.3</v>
      </c>
      <c r="I58" s="6">
        <v>0.3</v>
      </c>
      <c r="J58" s="6">
        <v>0.2</v>
      </c>
      <c r="K58" s="6">
        <v>5465.97</v>
      </c>
      <c r="L58" s="2">
        <f t="shared" si="0"/>
        <v>9006.1</v>
      </c>
    </row>
    <row r="59" spans="1:12" x14ac:dyDescent="0.35">
      <c r="A59" s="5" t="s">
        <v>68</v>
      </c>
      <c r="B59" s="6">
        <v>1600.46</v>
      </c>
      <c r="C59" s="6">
        <v>10.35</v>
      </c>
      <c r="D59" s="6">
        <v>4596.59</v>
      </c>
      <c r="E59" s="6">
        <v>2.76</v>
      </c>
      <c r="F59" s="6">
        <v>0.99</v>
      </c>
      <c r="G59" s="6">
        <v>1.3</v>
      </c>
      <c r="H59" s="6">
        <v>185.2</v>
      </c>
      <c r="I59" s="6">
        <v>0</v>
      </c>
      <c r="J59" s="6">
        <v>3.2</v>
      </c>
      <c r="K59" s="6">
        <v>3842.61</v>
      </c>
      <c r="L59" s="2">
        <f t="shared" si="0"/>
        <v>10243.459999999999</v>
      </c>
    </row>
    <row r="60" spans="1:12" x14ac:dyDescent="0.35">
      <c r="A60" s="4" t="s">
        <v>69</v>
      </c>
      <c r="B60" s="7">
        <v>84057.52</v>
      </c>
      <c r="C60" s="7">
        <v>1049.8699999999999</v>
      </c>
      <c r="D60" s="7">
        <v>280529.32</v>
      </c>
      <c r="E60" s="7">
        <v>652.55999999999995</v>
      </c>
      <c r="F60" s="7">
        <v>110.04</v>
      </c>
      <c r="G60" s="7">
        <v>96.7</v>
      </c>
      <c r="H60" s="7">
        <v>7997</v>
      </c>
      <c r="I60" s="7">
        <v>4.3</v>
      </c>
      <c r="J60" s="7">
        <v>162.6</v>
      </c>
      <c r="K60" s="7">
        <v>544344.13</v>
      </c>
      <c r="L60" s="2">
        <f t="shared" si="0"/>
        <v>919004.04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E907-D237-4980-A319-E70AAE3A4A1C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1929.67</v>
      </c>
      <c r="C2" s="6">
        <v>22.18</v>
      </c>
      <c r="D2" s="6">
        <v>6595.35</v>
      </c>
      <c r="E2" s="6">
        <v>15.6</v>
      </c>
      <c r="F2" s="6">
        <v>0.96</v>
      </c>
      <c r="G2" s="6">
        <v>1.4</v>
      </c>
      <c r="H2" s="6">
        <v>52.7</v>
      </c>
      <c r="I2" s="6">
        <v>1.1000000000000001</v>
      </c>
      <c r="J2" s="6">
        <v>4.7</v>
      </c>
      <c r="K2" s="6">
        <v>7309.43</v>
      </c>
      <c r="L2" s="2">
        <f>SUM(B2:K2)</f>
        <v>15933.090000000002</v>
      </c>
    </row>
    <row r="3" spans="1:12" x14ac:dyDescent="0.35">
      <c r="A3" s="5" t="s">
        <v>12</v>
      </c>
      <c r="B3" s="6">
        <v>158.35</v>
      </c>
      <c r="C3" s="6">
        <v>2.0099999999999998</v>
      </c>
      <c r="D3" s="6">
        <v>1290.5</v>
      </c>
      <c r="E3" s="6">
        <v>8.91</v>
      </c>
      <c r="F3" s="6">
        <v>0.09</v>
      </c>
      <c r="G3" s="6">
        <v>0.1</v>
      </c>
      <c r="H3" s="6">
        <v>12.6</v>
      </c>
      <c r="I3" s="6">
        <v>0.1</v>
      </c>
      <c r="J3" s="6">
        <v>0</v>
      </c>
      <c r="K3" s="6">
        <v>1812.27</v>
      </c>
      <c r="L3" s="2">
        <f t="shared" ref="L3:L60" si="0">SUM(B3:K3)</f>
        <v>3284.9299999999994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0.09</v>
      </c>
      <c r="D5" s="6">
        <v>156.51</v>
      </c>
      <c r="E5" s="6">
        <v>0</v>
      </c>
      <c r="F5" s="6">
        <v>0</v>
      </c>
      <c r="G5" s="6">
        <v>0</v>
      </c>
      <c r="H5" s="6">
        <v>0.7</v>
      </c>
      <c r="I5" s="6">
        <v>0</v>
      </c>
      <c r="J5" s="6">
        <v>0.1</v>
      </c>
      <c r="K5" s="6">
        <v>45.27</v>
      </c>
      <c r="L5" s="2">
        <f t="shared" si="0"/>
        <v>202.67</v>
      </c>
    </row>
    <row r="6" spans="1:12" x14ac:dyDescent="0.35">
      <c r="A6" s="5" t="s">
        <v>15</v>
      </c>
      <c r="B6" s="6">
        <v>2530.88</v>
      </c>
      <c r="C6" s="6">
        <v>23.67</v>
      </c>
      <c r="D6" s="6">
        <v>7800.51</v>
      </c>
      <c r="E6" s="6">
        <v>24.91</v>
      </c>
      <c r="F6" s="6">
        <v>0.32</v>
      </c>
      <c r="G6" s="6">
        <v>2.4</v>
      </c>
      <c r="H6" s="6">
        <v>110.8</v>
      </c>
      <c r="I6" s="6">
        <v>0</v>
      </c>
      <c r="J6" s="6">
        <v>3.3</v>
      </c>
      <c r="K6" s="6">
        <v>9733.31</v>
      </c>
      <c r="L6" s="2">
        <f t="shared" si="0"/>
        <v>20230.099999999999</v>
      </c>
    </row>
    <row r="7" spans="1:12" x14ac:dyDescent="0.35">
      <c r="A7" s="5" t="s">
        <v>16</v>
      </c>
      <c r="B7" s="6">
        <v>491.55</v>
      </c>
      <c r="C7" s="6">
        <v>7.15</v>
      </c>
      <c r="D7" s="6">
        <v>5276.64</v>
      </c>
      <c r="E7" s="6">
        <v>3.42</v>
      </c>
      <c r="F7" s="6">
        <v>2.2799999999999998</v>
      </c>
      <c r="G7" s="6">
        <v>0.9</v>
      </c>
      <c r="H7" s="6">
        <v>137.6</v>
      </c>
      <c r="I7" s="6">
        <v>0.1</v>
      </c>
      <c r="J7" s="6">
        <v>2.7</v>
      </c>
      <c r="K7" s="6">
        <v>8355.66</v>
      </c>
      <c r="L7" s="2">
        <f t="shared" si="0"/>
        <v>14278</v>
      </c>
    </row>
    <row r="8" spans="1:12" x14ac:dyDescent="0.35">
      <c r="A8" s="5" t="s">
        <v>17</v>
      </c>
      <c r="B8" s="6">
        <v>1135.8900000000001</v>
      </c>
      <c r="C8" s="6">
        <v>21.25</v>
      </c>
      <c r="D8" s="6">
        <v>7627.1</v>
      </c>
      <c r="E8" s="6">
        <v>10.78</v>
      </c>
      <c r="F8" s="6">
        <v>0.28000000000000003</v>
      </c>
      <c r="G8" s="6">
        <v>1.1000000000000001</v>
      </c>
      <c r="H8" s="6">
        <v>167.8</v>
      </c>
      <c r="I8" s="6">
        <v>0.1</v>
      </c>
      <c r="J8" s="6">
        <v>3.7</v>
      </c>
      <c r="K8" s="6">
        <v>6370.41</v>
      </c>
      <c r="L8" s="2">
        <f t="shared" si="0"/>
        <v>15338.410000000002</v>
      </c>
    </row>
    <row r="9" spans="1:12" x14ac:dyDescent="0.35">
      <c r="A9" s="5" t="s">
        <v>18</v>
      </c>
      <c r="B9" s="6">
        <v>5321.35</v>
      </c>
      <c r="C9" s="6">
        <v>22.99</v>
      </c>
      <c r="D9" s="6">
        <v>8111.8</v>
      </c>
      <c r="E9" s="6">
        <v>8.58</v>
      </c>
      <c r="F9" s="6">
        <v>2.92</v>
      </c>
      <c r="G9" s="6">
        <v>2.9</v>
      </c>
      <c r="H9" s="6">
        <v>110</v>
      </c>
      <c r="I9" s="6">
        <v>0.3</v>
      </c>
      <c r="J9" s="6">
        <v>4.4000000000000004</v>
      </c>
      <c r="K9" s="6">
        <v>10475.790000000001</v>
      </c>
      <c r="L9" s="2">
        <f t="shared" si="0"/>
        <v>24061.03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3419.65</v>
      </c>
      <c r="C12" s="6">
        <v>34.15</v>
      </c>
      <c r="D12" s="6">
        <v>7653.16</v>
      </c>
      <c r="E12" s="6">
        <v>30.96</v>
      </c>
      <c r="F12" s="6">
        <v>0.64</v>
      </c>
      <c r="G12" s="6">
        <v>8.4</v>
      </c>
      <c r="H12" s="6">
        <v>118.2</v>
      </c>
      <c r="I12" s="6">
        <v>0.3</v>
      </c>
      <c r="J12" s="6">
        <v>6.6</v>
      </c>
      <c r="K12" s="6">
        <v>24187.54</v>
      </c>
      <c r="L12" s="2">
        <f t="shared" si="0"/>
        <v>35459.599999999999</v>
      </c>
    </row>
    <row r="13" spans="1:12" x14ac:dyDescent="0.35">
      <c r="A13" s="5" t="s">
        <v>22</v>
      </c>
      <c r="B13" s="6">
        <v>4949.59</v>
      </c>
      <c r="C13" s="6">
        <v>12.47</v>
      </c>
      <c r="D13" s="6">
        <v>9094.24</v>
      </c>
      <c r="E13" s="6">
        <v>42.27</v>
      </c>
      <c r="F13" s="6">
        <v>2.84</v>
      </c>
      <c r="G13" s="6">
        <v>6.1</v>
      </c>
      <c r="H13" s="6">
        <v>72.5</v>
      </c>
      <c r="I13" s="6">
        <v>0.3</v>
      </c>
      <c r="J13" s="6">
        <v>9.1</v>
      </c>
      <c r="K13" s="6">
        <v>26068.799999999999</v>
      </c>
      <c r="L13" s="2">
        <f t="shared" si="0"/>
        <v>40258.21</v>
      </c>
    </row>
    <row r="14" spans="1:12" x14ac:dyDescent="0.35">
      <c r="A14" s="5" t="s">
        <v>23</v>
      </c>
      <c r="B14" s="6">
        <v>546.65</v>
      </c>
      <c r="C14" s="6">
        <v>12.16</v>
      </c>
      <c r="D14" s="6">
        <v>2693.55</v>
      </c>
      <c r="E14" s="6">
        <v>0.28999999999999998</v>
      </c>
      <c r="F14" s="6">
        <v>0.23</v>
      </c>
      <c r="G14" s="6">
        <v>0.9</v>
      </c>
      <c r="H14" s="6">
        <v>125.2</v>
      </c>
      <c r="I14" s="6">
        <v>0.1</v>
      </c>
      <c r="J14" s="6">
        <v>0.8</v>
      </c>
      <c r="K14" s="6">
        <v>5487.97</v>
      </c>
      <c r="L14" s="2">
        <f t="shared" si="0"/>
        <v>8867.85</v>
      </c>
    </row>
    <row r="15" spans="1:12" x14ac:dyDescent="0.35">
      <c r="A15" s="5" t="s">
        <v>24</v>
      </c>
      <c r="B15" s="6">
        <v>1250.33</v>
      </c>
      <c r="C15" s="6">
        <v>16.36</v>
      </c>
      <c r="D15" s="6">
        <v>5151.97</v>
      </c>
      <c r="E15" s="6">
        <v>8.65</v>
      </c>
      <c r="F15" s="6">
        <v>7.0000000000000007E-2</v>
      </c>
      <c r="G15" s="6">
        <v>0.9</v>
      </c>
      <c r="H15" s="6">
        <v>93.7</v>
      </c>
      <c r="I15" s="6">
        <v>0</v>
      </c>
      <c r="J15" s="6">
        <v>0.9</v>
      </c>
      <c r="K15" s="6">
        <v>4396.8900000000003</v>
      </c>
      <c r="L15" s="2">
        <f t="shared" si="0"/>
        <v>10919.769999999999</v>
      </c>
    </row>
    <row r="16" spans="1:12" x14ac:dyDescent="0.35">
      <c r="A16" s="5" t="s">
        <v>25</v>
      </c>
      <c r="B16" s="6">
        <v>113.92</v>
      </c>
      <c r="C16" s="6">
        <v>3.19</v>
      </c>
      <c r="D16" s="6">
        <v>1305.25</v>
      </c>
      <c r="E16" s="6">
        <v>0.42</v>
      </c>
      <c r="F16" s="6">
        <v>0.21</v>
      </c>
      <c r="G16" s="6">
        <v>0</v>
      </c>
      <c r="H16" s="6">
        <v>11.8</v>
      </c>
      <c r="I16" s="6">
        <v>0</v>
      </c>
      <c r="J16" s="6">
        <v>0</v>
      </c>
      <c r="K16" s="6">
        <v>1404.1</v>
      </c>
      <c r="L16" s="2">
        <f t="shared" si="0"/>
        <v>2838.89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2587.7399999999998</v>
      </c>
      <c r="C18" s="6">
        <v>18.72</v>
      </c>
      <c r="D18" s="6">
        <v>5660.01</v>
      </c>
      <c r="E18" s="6">
        <v>4.96</v>
      </c>
      <c r="F18" s="6">
        <v>0.55000000000000004</v>
      </c>
      <c r="G18" s="6">
        <v>1.6</v>
      </c>
      <c r="H18" s="6">
        <v>130.80000000000001</v>
      </c>
      <c r="I18" s="6">
        <v>0</v>
      </c>
      <c r="J18" s="6">
        <v>3.6</v>
      </c>
      <c r="K18" s="6">
        <v>16273.75</v>
      </c>
      <c r="L18" s="2">
        <f t="shared" si="0"/>
        <v>24681.729999999996</v>
      </c>
    </row>
    <row r="19" spans="1:12" x14ac:dyDescent="0.35">
      <c r="A19" s="5" t="s">
        <v>28</v>
      </c>
      <c r="B19" s="6">
        <v>1746.24</v>
      </c>
      <c r="C19" s="6">
        <v>13.66</v>
      </c>
      <c r="D19" s="6">
        <v>4745.63</v>
      </c>
      <c r="E19" s="6">
        <v>4.1399999999999997</v>
      </c>
      <c r="F19" s="6">
        <v>0.36</v>
      </c>
      <c r="G19" s="6">
        <v>0.8</v>
      </c>
      <c r="H19" s="6">
        <v>78.900000000000006</v>
      </c>
      <c r="I19" s="6">
        <v>0</v>
      </c>
      <c r="J19" s="6">
        <v>0.7</v>
      </c>
      <c r="K19" s="6">
        <v>5383.07</v>
      </c>
      <c r="L19" s="2">
        <f t="shared" si="0"/>
        <v>11973.5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2749.41</v>
      </c>
      <c r="C21" s="6">
        <v>8.15</v>
      </c>
      <c r="D21" s="6">
        <v>5975.9</v>
      </c>
      <c r="E21" s="6">
        <v>2.38</v>
      </c>
      <c r="F21" s="6">
        <v>0.92</v>
      </c>
      <c r="G21" s="6">
        <v>1.8</v>
      </c>
      <c r="H21" s="6">
        <v>47.8</v>
      </c>
      <c r="I21" s="6">
        <v>0.1</v>
      </c>
      <c r="J21" s="6">
        <v>4</v>
      </c>
      <c r="K21" s="6">
        <v>8769.2199999999993</v>
      </c>
      <c r="L21" s="2">
        <f t="shared" si="0"/>
        <v>17559.679999999997</v>
      </c>
    </row>
    <row r="22" spans="1:12" x14ac:dyDescent="0.35">
      <c r="A22" s="5" t="s">
        <v>31</v>
      </c>
      <c r="B22" s="6">
        <v>1579.45</v>
      </c>
      <c r="C22" s="6">
        <v>8.42</v>
      </c>
      <c r="D22" s="6">
        <v>2414.9499999999998</v>
      </c>
      <c r="E22" s="6">
        <v>1.17</v>
      </c>
      <c r="F22" s="6">
        <v>0.83</v>
      </c>
      <c r="G22" s="6">
        <v>1.1000000000000001</v>
      </c>
      <c r="H22" s="6">
        <v>109.8</v>
      </c>
      <c r="I22" s="6">
        <v>0</v>
      </c>
      <c r="J22" s="6">
        <v>0.5</v>
      </c>
      <c r="K22" s="6">
        <v>8017.06</v>
      </c>
      <c r="L22" s="2">
        <f t="shared" si="0"/>
        <v>12133.279999999999</v>
      </c>
    </row>
    <row r="23" spans="1:12" x14ac:dyDescent="0.35">
      <c r="A23" s="5" t="s">
        <v>32</v>
      </c>
      <c r="B23" s="6">
        <v>2945.72</v>
      </c>
      <c r="C23" s="6">
        <v>47.54</v>
      </c>
      <c r="D23" s="6">
        <v>7735.02</v>
      </c>
      <c r="E23" s="6">
        <v>19.350000000000001</v>
      </c>
      <c r="F23" s="6">
        <v>1.39</v>
      </c>
      <c r="G23" s="6">
        <v>8.1</v>
      </c>
      <c r="H23" s="6">
        <v>296.2</v>
      </c>
      <c r="I23" s="6">
        <v>0</v>
      </c>
      <c r="J23" s="6">
        <v>4.2</v>
      </c>
      <c r="K23" s="6">
        <v>20876</v>
      </c>
      <c r="L23" s="2">
        <f t="shared" si="0"/>
        <v>31933.520000000004</v>
      </c>
    </row>
    <row r="24" spans="1:12" x14ac:dyDescent="0.35">
      <c r="A24" s="5" t="s">
        <v>33</v>
      </c>
      <c r="B24" s="6">
        <v>1608.48</v>
      </c>
      <c r="C24" s="6">
        <v>23.7</v>
      </c>
      <c r="D24" s="6">
        <v>6755.78</v>
      </c>
      <c r="E24" s="6">
        <v>4.2699999999999996</v>
      </c>
      <c r="F24" s="6">
        <v>0.41</v>
      </c>
      <c r="G24" s="6">
        <v>0.3</v>
      </c>
      <c r="H24" s="6">
        <v>154</v>
      </c>
      <c r="I24" s="6">
        <v>0</v>
      </c>
      <c r="J24" s="6">
        <v>3.4</v>
      </c>
      <c r="K24" s="6">
        <v>3673.81</v>
      </c>
      <c r="L24" s="2">
        <f t="shared" si="0"/>
        <v>12224.149999999998</v>
      </c>
    </row>
    <row r="25" spans="1:12" x14ac:dyDescent="0.35">
      <c r="A25" s="5" t="s">
        <v>34</v>
      </c>
      <c r="B25" s="6">
        <v>875.52</v>
      </c>
      <c r="C25" s="6">
        <v>6.03</v>
      </c>
      <c r="D25" s="6">
        <v>4078.68</v>
      </c>
      <c r="E25" s="6">
        <v>4.16</v>
      </c>
      <c r="F25" s="6">
        <v>0.14000000000000001</v>
      </c>
      <c r="G25" s="6">
        <v>4</v>
      </c>
      <c r="H25" s="6">
        <v>44.2</v>
      </c>
      <c r="I25" s="6">
        <v>0.1</v>
      </c>
      <c r="J25" s="6">
        <v>2.2999999999999998</v>
      </c>
      <c r="K25" s="6">
        <v>4457.5</v>
      </c>
      <c r="L25" s="2">
        <f t="shared" si="0"/>
        <v>9472.630000000001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786.3</v>
      </c>
      <c r="C27" s="6">
        <v>13.64</v>
      </c>
      <c r="D27" s="6">
        <v>3376.35</v>
      </c>
      <c r="E27" s="6">
        <v>0.1</v>
      </c>
      <c r="F27" s="6">
        <v>0.3</v>
      </c>
      <c r="G27" s="6">
        <v>0.6</v>
      </c>
      <c r="H27" s="6">
        <v>79.7</v>
      </c>
      <c r="I27" s="6">
        <v>0</v>
      </c>
      <c r="J27" s="6">
        <v>2.2999999999999998</v>
      </c>
      <c r="K27" s="6">
        <v>7946.49</v>
      </c>
      <c r="L27" s="2">
        <f t="shared" si="0"/>
        <v>12205.78</v>
      </c>
    </row>
    <row r="28" spans="1:12" x14ac:dyDescent="0.35">
      <c r="A28" s="5" t="s">
        <v>37</v>
      </c>
      <c r="B28" s="6">
        <v>1673.9</v>
      </c>
      <c r="C28" s="6">
        <v>27.15</v>
      </c>
      <c r="D28" s="6">
        <v>7459.06</v>
      </c>
      <c r="E28" s="6">
        <v>33.08</v>
      </c>
      <c r="F28" s="6">
        <v>22.8</v>
      </c>
      <c r="G28" s="6">
        <v>2.8</v>
      </c>
      <c r="H28" s="6">
        <v>117.4</v>
      </c>
      <c r="I28" s="6">
        <v>0.3</v>
      </c>
      <c r="J28" s="6">
        <v>3.1</v>
      </c>
      <c r="K28" s="6">
        <v>21118.560000000001</v>
      </c>
      <c r="L28" s="2">
        <f t="shared" si="0"/>
        <v>30458.15</v>
      </c>
    </row>
    <row r="29" spans="1:12" x14ac:dyDescent="0.35">
      <c r="A29" s="5" t="s">
        <v>38</v>
      </c>
      <c r="B29" s="6">
        <v>1689.78</v>
      </c>
      <c r="C29" s="6">
        <v>10.81</v>
      </c>
      <c r="D29" s="6">
        <v>6103.17</v>
      </c>
      <c r="E29" s="6">
        <v>7.58</v>
      </c>
      <c r="F29" s="6">
        <v>0.55000000000000004</v>
      </c>
      <c r="G29" s="6">
        <v>1.7</v>
      </c>
      <c r="H29" s="6">
        <v>69.099999999999994</v>
      </c>
      <c r="I29" s="6">
        <v>0.1</v>
      </c>
      <c r="J29" s="6">
        <v>0.4</v>
      </c>
      <c r="K29" s="6">
        <v>2312.5100000000002</v>
      </c>
      <c r="L29" s="2">
        <f t="shared" si="0"/>
        <v>10195.700000000001</v>
      </c>
    </row>
    <row r="30" spans="1:12" x14ac:dyDescent="0.35">
      <c r="A30" s="5" t="s">
        <v>39</v>
      </c>
      <c r="B30" s="6">
        <v>1231.1199999999999</v>
      </c>
      <c r="C30" s="6">
        <v>8.85</v>
      </c>
      <c r="D30" s="6">
        <v>4485.22</v>
      </c>
      <c r="E30" s="6">
        <v>1.4</v>
      </c>
      <c r="F30" s="6">
        <v>0.06</v>
      </c>
      <c r="G30" s="6">
        <v>0.3</v>
      </c>
      <c r="H30" s="6">
        <v>178.3</v>
      </c>
      <c r="I30" s="6">
        <v>0.1</v>
      </c>
      <c r="J30" s="6">
        <v>0.3</v>
      </c>
      <c r="K30" s="6">
        <v>12337.11</v>
      </c>
      <c r="L30" s="2">
        <f t="shared" si="0"/>
        <v>18242.760000000002</v>
      </c>
    </row>
    <row r="31" spans="1:12" x14ac:dyDescent="0.35">
      <c r="A31" s="5" t="s">
        <v>40</v>
      </c>
      <c r="B31" s="6">
        <v>4793.13</v>
      </c>
      <c r="C31" s="6">
        <v>43.62</v>
      </c>
      <c r="D31" s="6">
        <v>11571.51</v>
      </c>
      <c r="E31" s="6">
        <v>7.95</v>
      </c>
      <c r="F31" s="6">
        <v>0.74</v>
      </c>
      <c r="G31" s="6">
        <v>1.7</v>
      </c>
      <c r="H31" s="6">
        <v>718.1</v>
      </c>
      <c r="I31" s="6">
        <v>0</v>
      </c>
      <c r="J31" s="6">
        <v>7.2</v>
      </c>
      <c r="K31" s="6">
        <v>10566.92</v>
      </c>
      <c r="L31" s="2">
        <f t="shared" si="0"/>
        <v>27710.870000000003</v>
      </c>
    </row>
    <row r="32" spans="1:12" x14ac:dyDescent="0.35">
      <c r="A32" s="5" t="s">
        <v>41</v>
      </c>
      <c r="B32" s="6">
        <v>2090.35</v>
      </c>
      <c r="C32" s="6">
        <v>47.28</v>
      </c>
      <c r="D32" s="6">
        <v>7904.95</v>
      </c>
      <c r="E32" s="6">
        <v>18.73</v>
      </c>
      <c r="F32" s="6">
        <v>0.51</v>
      </c>
      <c r="G32" s="6">
        <v>0.3</v>
      </c>
      <c r="H32" s="6">
        <v>358.5</v>
      </c>
      <c r="I32" s="6">
        <v>0</v>
      </c>
      <c r="J32" s="6">
        <v>1.2</v>
      </c>
      <c r="K32" s="6">
        <v>15046.44</v>
      </c>
      <c r="L32" s="2">
        <f t="shared" si="0"/>
        <v>25468.260000000002</v>
      </c>
    </row>
    <row r="33" spans="1:12" x14ac:dyDescent="0.35">
      <c r="A33" s="5" t="s">
        <v>42</v>
      </c>
      <c r="B33" s="6">
        <v>636.83000000000004</v>
      </c>
      <c r="C33" s="6">
        <v>15.13</v>
      </c>
      <c r="D33" s="6">
        <v>3363.69</v>
      </c>
      <c r="E33" s="6">
        <v>12.69</v>
      </c>
      <c r="F33" s="6">
        <v>0.12</v>
      </c>
      <c r="G33" s="6">
        <v>0.9</v>
      </c>
      <c r="H33" s="6">
        <v>35.5</v>
      </c>
      <c r="I33" s="6">
        <v>0</v>
      </c>
      <c r="J33" s="6">
        <v>1.2</v>
      </c>
      <c r="K33" s="6">
        <v>1940.43</v>
      </c>
      <c r="L33" s="2">
        <f t="shared" si="0"/>
        <v>6006.49</v>
      </c>
    </row>
    <row r="34" spans="1:12" x14ac:dyDescent="0.35">
      <c r="A34" s="5" t="s">
        <v>43</v>
      </c>
      <c r="B34" s="6">
        <v>1166.1199999999999</v>
      </c>
      <c r="C34" s="6">
        <v>11.12</v>
      </c>
      <c r="D34" s="6">
        <v>4540.1400000000003</v>
      </c>
      <c r="E34" s="6">
        <v>17.77</v>
      </c>
      <c r="F34" s="6">
        <v>3.82</v>
      </c>
      <c r="G34" s="6">
        <v>1.7</v>
      </c>
      <c r="H34" s="6">
        <v>222.1</v>
      </c>
      <c r="I34" s="6">
        <v>0.1</v>
      </c>
      <c r="J34" s="6">
        <v>4.3</v>
      </c>
      <c r="K34" s="6">
        <v>4616.2</v>
      </c>
      <c r="L34" s="2">
        <f t="shared" si="0"/>
        <v>10583.37</v>
      </c>
    </row>
    <row r="35" spans="1:12" x14ac:dyDescent="0.35">
      <c r="A35" s="5" t="s">
        <v>44</v>
      </c>
      <c r="B35" s="6">
        <v>2871.06</v>
      </c>
      <c r="C35" s="6">
        <v>37.119999999999997</v>
      </c>
      <c r="D35" s="6">
        <v>8620.61</v>
      </c>
      <c r="E35" s="6">
        <v>1.0900000000000001</v>
      </c>
      <c r="F35" s="6">
        <v>0.62</v>
      </c>
      <c r="G35" s="6">
        <v>1.1000000000000001</v>
      </c>
      <c r="H35" s="6">
        <v>750.8</v>
      </c>
      <c r="I35" s="6">
        <v>0</v>
      </c>
      <c r="J35" s="6">
        <v>6.7</v>
      </c>
      <c r="K35" s="6">
        <v>22019.83</v>
      </c>
      <c r="L35" s="2">
        <f t="shared" si="0"/>
        <v>34308.930000000008</v>
      </c>
    </row>
    <row r="36" spans="1:12" x14ac:dyDescent="0.35">
      <c r="A36" s="5" t="s">
        <v>45</v>
      </c>
      <c r="B36" s="6">
        <v>1806.25</v>
      </c>
      <c r="C36" s="6">
        <v>96.97</v>
      </c>
      <c r="D36" s="6">
        <v>12204.23</v>
      </c>
      <c r="E36" s="6">
        <v>30</v>
      </c>
      <c r="F36" s="6">
        <v>12.56</v>
      </c>
      <c r="G36" s="6">
        <v>3</v>
      </c>
      <c r="H36" s="6">
        <v>331.6</v>
      </c>
      <c r="I36" s="6">
        <v>0.4</v>
      </c>
      <c r="J36" s="6">
        <v>6.7</v>
      </c>
      <c r="K36" s="6">
        <v>33932.01</v>
      </c>
      <c r="L36" s="2">
        <f t="shared" si="0"/>
        <v>48423.72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2056.6</v>
      </c>
      <c r="C38" s="6">
        <v>36.630000000000003</v>
      </c>
      <c r="D38" s="6">
        <v>6721.01</v>
      </c>
      <c r="E38" s="6">
        <v>9.74</v>
      </c>
      <c r="F38" s="6">
        <v>1.04</v>
      </c>
      <c r="G38" s="6">
        <v>1.8</v>
      </c>
      <c r="H38" s="6">
        <v>502.3</v>
      </c>
      <c r="I38" s="6">
        <v>0.2</v>
      </c>
      <c r="J38" s="6">
        <v>5.5</v>
      </c>
      <c r="K38" s="6">
        <v>10641.99</v>
      </c>
      <c r="L38" s="2">
        <f t="shared" si="0"/>
        <v>19976.809999999998</v>
      </c>
    </row>
    <row r="39" spans="1:12" x14ac:dyDescent="0.35">
      <c r="A39" s="5" t="s">
        <v>48</v>
      </c>
      <c r="B39" s="6">
        <v>0</v>
      </c>
      <c r="C39" s="6">
        <v>4.59</v>
      </c>
      <c r="D39" s="6">
        <v>1596.35</v>
      </c>
      <c r="E39" s="6">
        <v>0.37</v>
      </c>
      <c r="F39" s="6">
        <v>0</v>
      </c>
      <c r="G39" s="6">
        <v>0.2</v>
      </c>
      <c r="H39" s="6">
        <v>36.200000000000003</v>
      </c>
      <c r="I39" s="6">
        <v>0</v>
      </c>
      <c r="J39" s="6">
        <v>1.6</v>
      </c>
      <c r="K39" s="6">
        <v>4950.2700000000004</v>
      </c>
      <c r="L39" s="2">
        <f t="shared" si="0"/>
        <v>6589.58</v>
      </c>
    </row>
    <row r="40" spans="1:12" x14ac:dyDescent="0.35">
      <c r="A40" s="5" t="s">
        <v>49</v>
      </c>
      <c r="B40" s="6">
        <v>327.84</v>
      </c>
      <c r="C40" s="6">
        <v>4.68</v>
      </c>
      <c r="D40" s="6">
        <v>1304.9000000000001</v>
      </c>
      <c r="E40" s="6">
        <v>0.56999999999999995</v>
      </c>
      <c r="F40" s="6">
        <v>0.38</v>
      </c>
      <c r="G40" s="6">
        <v>0.4</v>
      </c>
      <c r="H40" s="6">
        <v>16</v>
      </c>
      <c r="I40" s="6">
        <v>0.2</v>
      </c>
      <c r="J40" s="6">
        <v>0.4</v>
      </c>
      <c r="K40" s="6">
        <v>2078.27</v>
      </c>
      <c r="L40" s="2">
        <f t="shared" si="0"/>
        <v>3733.6400000000003</v>
      </c>
    </row>
    <row r="41" spans="1:12" x14ac:dyDescent="0.35">
      <c r="A41" s="5" t="s">
        <v>50</v>
      </c>
      <c r="B41" s="6">
        <v>2632.5</v>
      </c>
      <c r="C41" s="6">
        <v>24.63</v>
      </c>
      <c r="D41" s="6">
        <v>8762.31</v>
      </c>
      <c r="E41" s="6">
        <v>8.3800000000000008</v>
      </c>
      <c r="F41" s="6">
        <v>1.33</v>
      </c>
      <c r="G41" s="6">
        <v>2.1</v>
      </c>
      <c r="H41" s="6">
        <v>382.7</v>
      </c>
      <c r="I41" s="6">
        <v>0.1</v>
      </c>
      <c r="J41" s="6">
        <v>3</v>
      </c>
      <c r="K41" s="6">
        <v>27258.7</v>
      </c>
      <c r="L41" s="2">
        <f t="shared" si="0"/>
        <v>39075.75</v>
      </c>
    </row>
    <row r="42" spans="1:12" x14ac:dyDescent="0.35">
      <c r="A42" s="5" t="s">
        <v>51</v>
      </c>
      <c r="B42" s="6">
        <v>1993.52</v>
      </c>
      <c r="C42" s="6">
        <v>15.6</v>
      </c>
      <c r="D42" s="6">
        <v>6494.81</v>
      </c>
      <c r="E42" s="6">
        <v>1.62</v>
      </c>
      <c r="F42" s="6">
        <v>0.3</v>
      </c>
      <c r="G42" s="6">
        <v>0.1</v>
      </c>
      <c r="H42" s="6">
        <v>266.7</v>
      </c>
      <c r="I42" s="6">
        <v>0</v>
      </c>
      <c r="J42" s="6">
        <v>1.9</v>
      </c>
      <c r="K42" s="6">
        <v>7407.12</v>
      </c>
      <c r="L42" s="2">
        <f t="shared" si="0"/>
        <v>16181.670000000002</v>
      </c>
    </row>
    <row r="43" spans="1:12" x14ac:dyDescent="0.35">
      <c r="A43" s="5" t="s">
        <v>52</v>
      </c>
      <c r="B43" s="6">
        <v>1110.07</v>
      </c>
      <c r="C43" s="6">
        <v>74.17</v>
      </c>
      <c r="D43" s="6">
        <v>3157.56</v>
      </c>
      <c r="E43" s="6">
        <v>1.1299999999999999</v>
      </c>
      <c r="F43" s="6">
        <v>0.44</v>
      </c>
      <c r="G43" s="6">
        <v>1.4</v>
      </c>
      <c r="H43" s="6">
        <v>55.8</v>
      </c>
      <c r="I43" s="6">
        <v>0.1</v>
      </c>
      <c r="J43" s="6">
        <v>0.9</v>
      </c>
      <c r="K43" s="6">
        <v>9814.99</v>
      </c>
      <c r="L43" s="2">
        <f t="shared" si="0"/>
        <v>14216.56</v>
      </c>
    </row>
    <row r="44" spans="1:12" x14ac:dyDescent="0.35">
      <c r="A44" s="5" t="s">
        <v>53</v>
      </c>
      <c r="B44" s="6">
        <v>1868.8</v>
      </c>
      <c r="C44" s="6">
        <v>39.950000000000003</v>
      </c>
      <c r="D44" s="6">
        <v>6092.48</v>
      </c>
      <c r="E44" s="6">
        <v>4.87</v>
      </c>
      <c r="F44" s="6">
        <v>1.02</v>
      </c>
      <c r="G44" s="6">
        <v>0.2</v>
      </c>
      <c r="H44" s="6">
        <v>220.5</v>
      </c>
      <c r="I44" s="6">
        <v>0.2</v>
      </c>
      <c r="J44" s="6">
        <v>2.8</v>
      </c>
      <c r="K44" s="6">
        <v>9970.17</v>
      </c>
      <c r="L44" s="2">
        <f t="shared" si="0"/>
        <v>18200.989999999998</v>
      </c>
    </row>
    <row r="45" spans="1:12" x14ac:dyDescent="0.35">
      <c r="A45" s="5" t="s">
        <v>54</v>
      </c>
      <c r="B45" s="6">
        <v>1020.57</v>
      </c>
      <c r="C45" s="6">
        <v>5.71</v>
      </c>
      <c r="D45" s="6">
        <v>3508.3</v>
      </c>
      <c r="E45" s="6">
        <v>8.4700000000000006</v>
      </c>
      <c r="F45" s="6">
        <v>7.0000000000000007E-2</v>
      </c>
      <c r="G45" s="6">
        <v>0.3</v>
      </c>
      <c r="H45" s="6">
        <v>44.3</v>
      </c>
      <c r="I45" s="6">
        <v>0</v>
      </c>
      <c r="J45" s="6">
        <v>0.5</v>
      </c>
      <c r="K45" s="6">
        <v>1995</v>
      </c>
      <c r="L45" s="2">
        <f t="shared" si="0"/>
        <v>6583.22</v>
      </c>
    </row>
    <row r="46" spans="1:12" x14ac:dyDescent="0.35">
      <c r="A46" s="5" t="s">
        <v>55</v>
      </c>
      <c r="B46" s="6">
        <v>1713.04</v>
      </c>
      <c r="C46" s="6">
        <v>30.19</v>
      </c>
      <c r="D46" s="6">
        <v>5810.38</v>
      </c>
      <c r="E46" s="6">
        <v>0.8</v>
      </c>
      <c r="F46" s="6">
        <v>1.9</v>
      </c>
      <c r="G46" s="6">
        <v>0.5</v>
      </c>
      <c r="H46" s="6">
        <v>201.9</v>
      </c>
      <c r="I46" s="6">
        <v>0</v>
      </c>
      <c r="J46" s="6">
        <v>1.4</v>
      </c>
      <c r="K46" s="6">
        <v>13047.14</v>
      </c>
      <c r="L46" s="2">
        <f t="shared" si="0"/>
        <v>20807.25</v>
      </c>
    </row>
    <row r="47" spans="1:12" x14ac:dyDescent="0.35">
      <c r="A47" s="5" t="s">
        <v>56</v>
      </c>
      <c r="B47" s="6">
        <v>6958.27</v>
      </c>
      <c r="C47" s="6">
        <v>56.8</v>
      </c>
      <c r="D47" s="6">
        <v>11253.63</v>
      </c>
      <c r="E47" s="6">
        <v>17.7</v>
      </c>
      <c r="F47" s="6">
        <v>7.04</v>
      </c>
      <c r="G47" s="6">
        <v>7.2</v>
      </c>
      <c r="H47" s="6">
        <v>163.5</v>
      </c>
      <c r="I47" s="6">
        <v>0.1</v>
      </c>
      <c r="J47" s="6">
        <v>9.3000000000000007</v>
      </c>
      <c r="K47" s="6">
        <v>31896.63</v>
      </c>
      <c r="L47" s="2">
        <f t="shared" si="0"/>
        <v>50370.17</v>
      </c>
    </row>
    <row r="48" spans="1:12" x14ac:dyDescent="0.35">
      <c r="A48" s="5" t="s">
        <v>57</v>
      </c>
      <c r="B48" s="6">
        <v>706.61</v>
      </c>
      <c r="C48" s="6">
        <v>5.74</v>
      </c>
      <c r="D48" s="6">
        <v>3340.25</v>
      </c>
      <c r="E48" s="6">
        <v>7.34</v>
      </c>
      <c r="F48" s="6">
        <v>0.43</v>
      </c>
      <c r="G48" s="6">
        <v>0.7</v>
      </c>
      <c r="H48" s="6">
        <v>35.799999999999997</v>
      </c>
      <c r="I48" s="6">
        <v>0</v>
      </c>
      <c r="J48" s="6">
        <v>2</v>
      </c>
      <c r="K48" s="6">
        <v>4987.1000000000004</v>
      </c>
      <c r="L48" s="2">
        <f t="shared" si="0"/>
        <v>9085.9700000000012</v>
      </c>
    </row>
    <row r="49" spans="1:12" x14ac:dyDescent="0.35">
      <c r="A49" s="5" t="s">
        <v>58</v>
      </c>
      <c r="B49" s="6">
        <v>293.45999999999998</v>
      </c>
      <c r="C49" s="6">
        <v>3.55</v>
      </c>
      <c r="D49" s="6">
        <v>1662.21</v>
      </c>
      <c r="E49" s="6">
        <v>0.38</v>
      </c>
      <c r="F49" s="6">
        <v>0</v>
      </c>
      <c r="G49" s="6">
        <v>0.8</v>
      </c>
      <c r="H49" s="6">
        <v>116.8</v>
      </c>
      <c r="I49" s="6">
        <v>0.1</v>
      </c>
      <c r="J49" s="6">
        <v>0.6</v>
      </c>
      <c r="K49" s="6">
        <v>726.88</v>
      </c>
      <c r="L49" s="2">
        <f t="shared" si="0"/>
        <v>2804.78</v>
      </c>
    </row>
    <row r="50" spans="1:12" x14ac:dyDescent="0.35">
      <c r="A50" s="5" t="s">
        <v>59</v>
      </c>
      <c r="B50" s="6">
        <v>3984.01</v>
      </c>
      <c r="C50" s="6">
        <v>48.05</v>
      </c>
      <c r="D50" s="6">
        <v>7975.81</v>
      </c>
      <c r="E50" s="6">
        <v>4.42</v>
      </c>
      <c r="F50" s="6">
        <v>2.17</v>
      </c>
      <c r="G50" s="6">
        <v>1.5</v>
      </c>
      <c r="H50" s="6">
        <v>130.80000000000001</v>
      </c>
      <c r="I50" s="6">
        <v>0</v>
      </c>
      <c r="J50" s="6">
        <v>7.2</v>
      </c>
      <c r="K50" s="6">
        <v>14819.28</v>
      </c>
      <c r="L50" s="2">
        <f t="shared" si="0"/>
        <v>26973.24</v>
      </c>
    </row>
    <row r="51" spans="1:12" x14ac:dyDescent="0.35">
      <c r="A51" s="5" t="s">
        <v>60</v>
      </c>
      <c r="B51" s="6">
        <v>844.52</v>
      </c>
      <c r="C51" s="6">
        <v>5.63</v>
      </c>
      <c r="D51" s="6">
        <v>2394.4899999999998</v>
      </c>
      <c r="E51" s="6">
        <v>0</v>
      </c>
      <c r="F51" s="6">
        <v>0.02</v>
      </c>
      <c r="G51" s="6">
        <v>0.4</v>
      </c>
      <c r="H51" s="6">
        <v>133.9</v>
      </c>
      <c r="I51" s="6">
        <v>0</v>
      </c>
      <c r="J51" s="6">
        <v>0.3</v>
      </c>
      <c r="K51" s="6">
        <v>8077.88</v>
      </c>
      <c r="L51" s="2">
        <f t="shared" si="0"/>
        <v>11457.14</v>
      </c>
    </row>
    <row r="52" spans="1:12" x14ac:dyDescent="0.35">
      <c r="A52" s="5" t="s">
        <v>61</v>
      </c>
      <c r="B52" s="6">
        <v>3757.74</v>
      </c>
      <c r="C52" s="6">
        <v>32.26</v>
      </c>
      <c r="D52" s="6">
        <v>9262.44</v>
      </c>
      <c r="E52" s="6">
        <v>37.799999999999997</v>
      </c>
      <c r="F52" s="6">
        <v>0.19</v>
      </c>
      <c r="G52" s="6">
        <v>2.4</v>
      </c>
      <c r="H52" s="6">
        <v>204.3</v>
      </c>
      <c r="I52" s="6">
        <v>0.2</v>
      </c>
      <c r="J52" s="6">
        <v>1.2</v>
      </c>
      <c r="K52" s="6">
        <v>10640.32</v>
      </c>
      <c r="L52" s="2">
        <f t="shared" si="0"/>
        <v>23938.85</v>
      </c>
    </row>
    <row r="53" spans="1:12" x14ac:dyDescent="0.35">
      <c r="A53" s="5" t="s">
        <v>62</v>
      </c>
      <c r="B53" s="6">
        <v>7987.9</v>
      </c>
      <c r="C53" s="6">
        <v>68.33</v>
      </c>
      <c r="D53" s="6">
        <v>23270.080000000002</v>
      </c>
      <c r="E53" s="6">
        <v>21.3</v>
      </c>
      <c r="F53" s="6">
        <v>3.85</v>
      </c>
      <c r="G53" s="6">
        <v>13</v>
      </c>
      <c r="H53" s="6">
        <v>486.5</v>
      </c>
      <c r="I53" s="6">
        <v>0.6</v>
      </c>
      <c r="J53" s="6">
        <v>7.4</v>
      </c>
      <c r="K53" s="6">
        <v>94199.51</v>
      </c>
      <c r="L53" s="2">
        <f t="shared" si="0"/>
        <v>126058.47</v>
      </c>
    </row>
    <row r="54" spans="1:12" x14ac:dyDescent="0.35">
      <c r="A54" s="5" t="s">
        <v>63</v>
      </c>
      <c r="B54" s="6">
        <v>1334.76</v>
      </c>
      <c r="C54" s="6">
        <v>54</v>
      </c>
      <c r="D54" s="6">
        <v>12724.32</v>
      </c>
      <c r="E54" s="6">
        <v>29.56</v>
      </c>
      <c r="F54" s="6">
        <v>0.82</v>
      </c>
      <c r="G54" s="6">
        <v>0.6</v>
      </c>
      <c r="H54" s="6">
        <v>264.8</v>
      </c>
      <c r="I54" s="6">
        <v>0.6</v>
      </c>
      <c r="J54" s="6">
        <v>4.5</v>
      </c>
      <c r="K54" s="6">
        <v>10092.959999999999</v>
      </c>
      <c r="L54" s="2">
        <f t="shared" si="0"/>
        <v>24506.92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3629.95</v>
      </c>
      <c r="C56" s="6">
        <v>46.12</v>
      </c>
      <c r="D56" s="6">
        <v>7683.18</v>
      </c>
      <c r="E56" s="6">
        <v>20.28</v>
      </c>
      <c r="F56" s="6">
        <v>0.63</v>
      </c>
      <c r="G56" s="6">
        <v>1.9</v>
      </c>
      <c r="H56" s="6">
        <v>118.3</v>
      </c>
      <c r="I56" s="6">
        <v>0.1</v>
      </c>
      <c r="J56" s="6">
        <v>7.2</v>
      </c>
      <c r="K56" s="6">
        <v>8680.2900000000009</v>
      </c>
      <c r="L56" s="2">
        <f t="shared" si="0"/>
        <v>20187.95</v>
      </c>
    </row>
    <row r="57" spans="1:12" x14ac:dyDescent="0.35">
      <c r="A57" s="5" t="s">
        <v>66</v>
      </c>
      <c r="B57" s="6">
        <v>0</v>
      </c>
      <c r="C57" s="6">
        <v>14.33</v>
      </c>
      <c r="D57" s="6">
        <v>2594.46</v>
      </c>
      <c r="E57" s="6">
        <v>0.96</v>
      </c>
      <c r="F57" s="6">
        <v>0.11</v>
      </c>
      <c r="G57" s="6">
        <v>0.2</v>
      </c>
      <c r="H57" s="6">
        <v>130.80000000000001</v>
      </c>
      <c r="I57" s="6">
        <v>0</v>
      </c>
      <c r="J57" s="6">
        <v>1.1000000000000001</v>
      </c>
      <c r="K57" s="6">
        <v>4629.46</v>
      </c>
      <c r="L57" s="2">
        <f t="shared" si="0"/>
        <v>7371.42</v>
      </c>
    </row>
    <row r="58" spans="1:12" x14ac:dyDescent="0.35">
      <c r="A58" s="5" t="s">
        <v>67</v>
      </c>
      <c r="B58" s="6">
        <v>938.3</v>
      </c>
      <c r="C58" s="6">
        <v>13.53</v>
      </c>
      <c r="D58" s="6">
        <v>3083.56</v>
      </c>
      <c r="E58" s="6">
        <v>8.1999999999999993</v>
      </c>
      <c r="F58" s="6">
        <v>1.56</v>
      </c>
      <c r="G58" s="6">
        <v>3.8</v>
      </c>
      <c r="H58" s="6">
        <v>46.3</v>
      </c>
      <c r="I58" s="6">
        <v>0.1</v>
      </c>
      <c r="J58" s="6">
        <v>3.2</v>
      </c>
      <c r="K58" s="6">
        <v>4115</v>
      </c>
      <c r="L58" s="2">
        <f t="shared" si="0"/>
        <v>8213.5499999999993</v>
      </c>
    </row>
    <row r="59" spans="1:12" x14ac:dyDescent="0.35">
      <c r="A59" s="5" t="s">
        <v>68</v>
      </c>
      <c r="B59" s="6">
        <v>4157.83</v>
      </c>
      <c r="C59" s="6">
        <v>28.71</v>
      </c>
      <c r="D59" s="6">
        <v>7908.94</v>
      </c>
      <c r="E59" s="6">
        <v>20.440000000000001</v>
      </c>
      <c r="F59" s="6">
        <v>0.47</v>
      </c>
      <c r="G59" s="6">
        <v>3.8</v>
      </c>
      <c r="H59" s="6">
        <v>129.19999999999999</v>
      </c>
      <c r="I59" s="6">
        <v>0.1</v>
      </c>
      <c r="J59" s="6">
        <v>9.1999999999999993</v>
      </c>
      <c r="K59" s="6">
        <v>12187.39</v>
      </c>
      <c r="L59" s="2">
        <f t="shared" si="0"/>
        <v>24446.080000000002</v>
      </c>
    </row>
    <row r="60" spans="1:12" x14ac:dyDescent="0.35">
      <c r="A60" s="4" t="s">
        <v>69</v>
      </c>
      <c r="B60" s="7">
        <v>102001.52</v>
      </c>
      <c r="C60" s="7">
        <v>1228.77</v>
      </c>
      <c r="D60" s="7">
        <v>306352.95</v>
      </c>
      <c r="E60" s="7">
        <v>529.96</v>
      </c>
      <c r="F60" s="7">
        <v>81.290000000000006</v>
      </c>
      <c r="G60" s="7">
        <v>100.2</v>
      </c>
      <c r="H60" s="7">
        <v>8423.7999999999993</v>
      </c>
      <c r="I60" s="7">
        <v>6.3</v>
      </c>
      <c r="J60" s="7">
        <v>159.6</v>
      </c>
      <c r="K60" s="7">
        <v>597150.68999999994</v>
      </c>
      <c r="L60" s="2">
        <f t="shared" si="0"/>
        <v>1016035.0799999998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1689-8D88-4859-81B9-BD70B6D78D36}">
  <dimension ref="A1:L60"/>
  <sheetViews>
    <sheetView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21.6328125" bestFit="1" customWidth="1"/>
    <col min="4" max="4" width="11.54296875" bestFit="1" customWidth="1"/>
    <col min="5" max="5" width="9.54296875" bestFit="1" customWidth="1"/>
    <col min="8" max="8" width="19.81640625" bestFit="1" customWidth="1"/>
    <col min="11" max="11" width="18.90625" bestFit="1" customWidth="1"/>
    <col min="12" max="12" width="13" bestFit="1" customWidth="1"/>
  </cols>
  <sheetData>
    <row r="1" spans="1:12" ht="43.5" x14ac:dyDescent="0.3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2456.3200000000002</v>
      </c>
      <c r="C2" s="3">
        <v>25.35</v>
      </c>
      <c r="D2" s="3">
        <v>7185.97</v>
      </c>
      <c r="E2" s="3">
        <v>89.95</v>
      </c>
      <c r="F2" s="3">
        <v>0.22</v>
      </c>
      <c r="G2" s="3">
        <v>2.6</v>
      </c>
      <c r="H2" s="6">
        <v>80.599999999999994</v>
      </c>
      <c r="I2" s="6">
        <v>3.5</v>
      </c>
      <c r="J2" s="6">
        <v>8.6</v>
      </c>
      <c r="K2" s="6">
        <v>15447.02</v>
      </c>
      <c r="L2" s="2">
        <f>SUM(B2:K2)</f>
        <v>25300.13</v>
      </c>
    </row>
    <row r="3" spans="1:12" x14ac:dyDescent="0.35">
      <c r="A3" s="5" t="s">
        <v>12</v>
      </c>
      <c r="B3" s="6">
        <v>244.28</v>
      </c>
      <c r="C3" s="6">
        <v>3.08</v>
      </c>
      <c r="D3" s="6">
        <v>1344.75</v>
      </c>
      <c r="E3" s="6">
        <v>0</v>
      </c>
      <c r="F3" s="6">
        <v>0.21</v>
      </c>
      <c r="G3" s="6">
        <v>0.2</v>
      </c>
      <c r="H3" s="6">
        <v>13.4</v>
      </c>
      <c r="I3" s="6">
        <v>0</v>
      </c>
      <c r="J3" s="6">
        <v>0.7</v>
      </c>
      <c r="K3" s="6">
        <v>3252.53</v>
      </c>
      <c r="L3" s="2">
        <f t="shared" ref="L3:L60" si="0">SUM(B3:K3)</f>
        <v>4859.1500000000005</v>
      </c>
    </row>
    <row r="4" spans="1:12" x14ac:dyDescent="0.35">
      <c r="A4" s="5" t="s">
        <v>13</v>
      </c>
      <c r="B4" s="6">
        <v>0</v>
      </c>
      <c r="C4" s="6">
        <v>9.6</v>
      </c>
      <c r="D4" s="6">
        <v>1326.41</v>
      </c>
      <c r="E4" s="6">
        <v>3.46</v>
      </c>
      <c r="F4" s="6">
        <v>0</v>
      </c>
      <c r="G4" s="6">
        <v>0.3</v>
      </c>
      <c r="H4" s="6">
        <v>16</v>
      </c>
      <c r="I4" s="6">
        <v>0</v>
      </c>
      <c r="J4" s="6">
        <v>0.1</v>
      </c>
      <c r="K4" s="6">
        <v>2183.9299999999998</v>
      </c>
      <c r="L4" s="2">
        <f t="shared" si="0"/>
        <v>3539.7999999999997</v>
      </c>
    </row>
    <row r="5" spans="1:12" x14ac:dyDescent="0.35">
      <c r="A5" s="5" t="s">
        <v>14</v>
      </c>
      <c r="B5" s="6">
        <v>761.68</v>
      </c>
      <c r="C5" s="6">
        <v>13.66</v>
      </c>
      <c r="D5" s="6">
        <v>2322.8000000000002</v>
      </c>
      <c r="E5" s="6">
        <v>0.94</v>
      </c>
      <c r="F5" s="6">
        <v>5.39</v>
      </c>
      <c r="G5" s="6">
        <v>1.7</v>
      </c>
      <c r="H5" s="6">
        <v>85.4</v>
      </c>
      <c r="I5" s="6">
        <v>0</v>
      </c>
      <c r="J5" s="6">
        <v>3.4</v>
      </c>
      <c r="K5" s="6">
        <v>5590.21</v>
      </c>
      <c r="L5" s="2">
        <f t="shared" si="0"/>
        <v>8785.18</v>
      </c>
    </row>
    <row r="6" spans="1:12" x14ac:dyDescent="0.35">
      <c r="A6" s="5" t="s">
        <v>15</v>
      </c>
      <c r="B6" s="6">
        <v>2794.72</v>
      </c>
      <c r="C6" s="6">
        <v>38.49</v>
      </c>
      <c r="D6" s="6">
        <v>7375.99</v>
      </c>
      <c r="E6" s="6">
        <v>35.880000000000003</v>
      </c>
      <c r="F6" s="6">
        <v>0.27</v>
      </c>
      <c r="G6" s="6">
        <v>7.6</v>
      </c>
      <c r="H6" s="6">
        <v>89.8</v>
      </c>
      <c r="I6" s="6">
        <v>0.2</v>
      </c>
      <c r="J6" s="6">
        <v>2.2000000000000002</v>
      </c>
      <c r="K6" s="6">
        <v>17585.740000000002</v>
      </c>
      <c r="L6" s="2">
        <f t="shared" si="0"/>
        <v>27930.89</v>
      </c>
    </row>
    <row r="7" spans="1:12" x14ac:dyDescent="0.35">
      <c r="A7" s="5" t="s">
        <v>16</v>
      </c>
      <c r="B7" s="6">
        <v>1066.1300000000001</v>
      </c>
      <c r="C7" s="6">
        <v>32.72</v>
      </c>
      <c r="D7" s="6">
        <v>7084.62</v>
      </c>
      <c r="E7" s="6">
        <v>43.06</v>
      </c>
      <c r="F7" s="6">
        <v>0.05</v>
      </c>
      <c r="G7" s="6">
        <v>4.4000000000000004</v>
      </c>
      <c r="H7" s="6">
        <v>159.19999999999999</v>
      </c>
      <c r="I7" s="6">
        <v>0.2</v>
      </c>
      <c r="J7" s="6">
        <v>5.2</v>
      </c>
      <c r="K7" s="6">
        <v>10920.48</v>
      </c>
      <c r="L7" s="2">
        <f t="shared" si="0"/>
        <v>19316.060000000001</v>
      </c>
    </row>
    <row r="8" spans="1:12" x14ac:dyDescent="0.35">
      <c r="A8" s="5" t="s">
        <v>17</v>
      </c>
      <c r="B8" s="6">
        <v>1644.36</v>
      </c>
      <c r="C8" s="6">
        <v>22.73</v>
      </c>
      <c r="D8" s="6">
        <v>8862.77</v>
      </c>
      <c r="E8" s="6">
        <v>20.239999999999998</v>
      </c>
      <c r="F8" s="6">
        <v>0.5</v>
      </c>
      <c r="G8" s="6">
        <v>2.5</v>
      </c>
      <c r="H8" s="6">
        <v>134.5</v>
      </c>
      <c r="I8" s="6">
        <v>0.1</v>
      </c>
      <c r="J8" s="6">
        <v>1.8</v>
      </c>
      <c r="K8" s="6">
        <v>10140.56</v>
      </c>
      <c r="L8" s="2">
        <f t="shared" si="0"/>
        <v>20830.059999999998</v>
      </c>
    </row>
    <row r="9" spans="1:12" x14ac:dyDescent="0.35">
      <c r="A9" s="5" t="s">
        <v>18</v>
      </c>
      <c r="B9" s="6">
        <v>5087.59</v>
      </c>
      <c r="C9" s="6">
        <v>21.79</v>
      </c>
      <c r="D9" s="6">
        <v>7651.29</v>
      </c>
      <c r="E9" s="6">
        <v>27.53</v>
      </c>
      <c r="F9" s="6">
        <v>0.63</v>
      </c>
      <c r="G9" s="6">
        <v>3.1</v>
      </c>
      <c r="H9" s="6">
        <v>148.6</v>
      </c>
      <c r="I9" s="6">
        <v>0.1</v>
      </c>
      <c r="J9" s="6">
        <v>3.6</v>
      </c>
      <c r="K9" s="6">
        <v>10772.67</v>
      </c>
      <c r="L9" s="2">
        <f t="shared" si="0"/>
        <v>23716.9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1.07</v>
      </c>
      <c r="D11" s="6">
        <v>1972.62</v>
      </c>
      <c r="E11" s="6">
        <v>45.7</v>
      </c>
      <c r="F11" s="6">
        <v>0.37</v>
      </c>
      <c r="G11" s="6">
        <v>0</v>
      </c>
      <c r="H11" s="6">
        <v>242.6</v>
      </c>
      <c r="I11" s="6">
        <v>0</v>
      </c>
      <c r="J11" s="6">
        <v>0.9</v>
      </c>
      <c r="K11" s="6">
        <v>1897.69</v>
      </c>
      <c r="L11" s="2">
        <f t="shared" si="0"/>
        <v>4160.95</v>
      </c>
    </row>
    <row r="12" spans="1:12" x14ac:dyDescent="0.35">
      <c r="A12" s="5" t="s">
        <v>21</v>
      </c>
      <c r="B12" s="6">
        <v>3180.23</v>
      </c>
      <c r="C12" s="6">
        <v>31.77</v>
      </c>
      <c r="D12" s="6">
        <v>8913.44</v>
      </c>
      <c r="E12" s="6">
        <v>19.75</v>
      </c>
      <c r="F12" s="6">
        <v>6.82</v>
      </c>
      <c r="G12" s="6">
        <v>16.5</v>
      </c>
      <c r="H12" s="6">
        <v>110.8</v>
      </c>
      <c r="I12" s="6">
        <v>0</v>
      </c>
      <c r="J12" s="6">
        <v>6.3</v>
      </c>
      <c r="K12" s="6">
        <v>30031.87</v>
      </c>
      <c r="L12" s="2">
        <f t="shared" si="0"/>
        <v>42317.479999999996</v>
      </c>
    </row>
    <row r="13" spans="1:12" x14ac:dyDescent="0.35">
      <c r="A13" s="5" t="s">
        <v>22</v>
      </c>
      <c r="B13" s="6">
        <v>4392.01</v>
      </c>
      <c r="C13" s="6">
        <v>13.75</v>
      </c>
      <c r="D13" s="6">
        <v>8437.07</v>
      </c>
      <c r="E13" s="6">
        <v>38.53</v>
      </c>
      <c r="F13" s="6">
        <v>1.1499999999999999</v>
      </c>
      <c r="G13" s="6">
        <v>9.1</v>
      </c>
      <c r="H13" s="6">
        <v>77.8</v>
      </c>
      <c r="I13" s="6">
        <v>0</v>
      </c>
      <c r="J13" s="6">
        <v>19.100000000000001</v>
      </c>
      <c r="K13" s="6">
        <v>23334.35</v>
      </c>
      <c r="L13" s="2">
        <f t="shared" si="0"/>
        <v>36322.86</v>
      </c>
    </row>
    <row r="14" spans="1:12" x14ac:dyDescent="0.35">
      <c r="A14" s="5" t="s">
        <v>23</v>
      </c>
      <c r="B14" s="6">
        <v>566.11</v>
      </c>
      <c r="C14" s="6">
        <v>13.63</v>
      </c>
      <c r="D14" s="6">
        <v>2694.28</v>
      </c>
      <c r="E14" s="6">
        <v>3.74</v>
      </c>
      <c r="F14" s="6">
        <v>0.43</v>
      </c>
      <c r="G14" s="6">
        <v>0.8</v>
      </c>
      <c r="H14" s="6">
        <v>158.9</v>
      </c>
      <c r="I14" s="6">
        <v>0</v>
      </c>
      <c r="J14" s="6">
        <v>0.7</v>
      </c>
      <c r="K14" s="6">
        <v>6788.8</v>
      </c>
      <c r="L14" s="2">
        <f t="shared" si="0"/>
        <v>10227.39</v>
      </c>
    </row>
    <row r="15" spans="1:12" x14ac:dyDescent="0.35">
      <c r="A15" s="5" t="s">
        <v>24</v>
      </c>
      <c r="B15" s="6">
        <v>1661.88</v>
      </c>
      <c r="C15" s="6">
        <v>7.53</v>
      </c>
      <c r="D15" s="6">
        <v>4873</v>
      </c>
      <c r="E15" s="6">
        <v>7.33</v>
      </c>
      <c r="F15" s="6">
        <v>0.13</v>
      </c>
      <c r="G15" s="6">
        <v>0.8</v>
      </c>
      <c r="H15" s="6">
        <v>37.4</v>
      </c>
      <c r="I15" s="6">
        <v>0</v>
      </c>
      <c r="J15" s="6">
        <v>5.7</v>
      </c>
      <c r="K15" s="6">
        <v>8088.8</v>
      </c>
      <c r="L15" s="2">
        <f t="shared" si="0"/>
        <v>14682.57</v>
      </c>
    </row>
    <row r="16" spans="1:12" x14ac:dyDescent="0.35">
      <c r="A16" s="5" t="s">
        <v>25</v>
      </c>
      <c r="B16" s="6">
        <v>166.9</v>
      </c>
      <c r="C16" s="6">
        <v>4.72</v>
      </c>
      <c r="D16" s="6">
        <v>1525.68</v>
      </c>
      <c r="E16" s="6">
        <v>19.850000000000001</v>
      </c>
      <c r="F16" s="6">
        <v>0</v>
      </c>
      <c r="G16" s="6">
        <v>0.6</v>
      </c>
      <c r="H16" s="6">
        <v>29.3</v>
      </c>
      <c r="I16" s="6">
        <v>0</v>
      </c>
      <c r="J16" s="6">
        <v>0.1</v>
      </c>
      <c r="K16" s="6">
        <v>3393.73</v>
      </c>
      <c r="L16" s="2">
        <f t="shared" si="0"/>
        <v>5140.88</v>
      </c>
    </row>
    <row r="17" spans="1:12" x14ac:dyDescent="0.35">
      <c r="A17" s="5" t="s">
        <v>26</v>
      </c>
      <c r="B17" s="6">
        <v>357.09</v>
      </c>
      <c r="C17" s="6">
        <v>4.4000000000000004</v>
      </c>
      <c r="D17" s="6">
        <v>1806.89</v>
      </c>
      <c r="E17" s="6">
        <v>0.76</v>
      </c>
      <c r="F17" s="6">
        <v>0.01</v>
      </c>
      <c r="G17" s="6">
        <v>0.3</v>
      </c>
      <c r="H17" s="6">
        <v>56.1</v>
      </c>
      <c r="I17" s="6">
        <v>0</v>
      </c>
      <c r="J17" s="6">
        <v>2.4</v>
      </c>
      <c r="K17" s="6">
        <v>9128.41</v>
      </c>
      <c r="L17" s="2">
        <f t="shared" si="0"/>
        <v>11356.36</v>
      </c>
    </row>
    <row r="18" spans="1:12" x14ac:dyDescent="0.35">
      <c r="A18" s="5" t="s">
        <v>27</v>
      </c>
      <c r="B18" s="6">
        <v>3520.48</v>
      </c>
      <c r="C18" s="6">
        <v>15.27</v>
      </c>
      <c r="D18" s="6">
        <v>7213.66</v>
      </c>
      <c r="E18" s="6">
        <v>10.67</v>
      </c>
      <c r="F18" s="6">
        <v>0.59</v>
      </c>
      <c r="G18" s="6">
        <v>1.1000000000000001</v>
      </c>
      <c r="H18" s="6">
        <v>132.6</v>
      </c>
      <c r="I18" s="6">
        <v>0.1</v>
      </c>
      <c r="J18" s="6">
        <v>6.9</v>
      </c>
      <c r="K18" s="6">
        <v>17704.060000000001</v>
      </c>
      <c r="L18" s="2">
        <f t="shared" si="0"/>
        <v>28605.43</v>
      </c>
    </row>
    <row r="19" spans="1:12" x14ac:dyDescent="0.35">
      <c r="A19" s="5" t="s">
        <v>28</v>
      </c>
      <c r="B19" s="6">
        <v>1568.4</v>
      </c>
      <c r="C19" s="6">
        <v>16.98</v>
      </c>
      <c r="D19" s="6">
        <v>5417.73</v>
      </c>
      <c r="E19" s="6">
        <v>4.45</v>
      </c>
      <c r="F19" s="6">
        <v>0</v>
      </c>
      <c r="G19" s="6">
        <v>0.6</v>
      </c>
      <c r="H19" s="6">
        <v>98.3</v>
      </c>
      <c r="I19" s="6">
        <v>0</v>
      </c>
      <c r="J19" s="6">
        <v>0.4</v>
      </c>
      <c r="K19" s="6">
        <v>6647.73</v>
      </c>
      <c r="L19" s="2">
        <f t="shared" si="0"/>
        <v>13754.59</v>
      </c>
    </row>
    <row r="20" spans="1:12" x14ac:dyDescent="0.35">
      <c r="A20" s="5" t="s">
        <v>29</v>
      </c>
      <c r="B20" s="6">
        <v>0</v>
      </c>
      <c r="C20" s="6">
        <v>0.01</v>
      </c>
      <c r="D20" s="6">
        <v>755.21</v>
      </c>
      <c r="E20" s="6">
        <v>4.1500000000000004</v>
      </c>
      <c r="F20" s="6">
        <v>0</v>
      </c>
      <c r="G20" s="6">
        <v>0</v>
      </c>
      <c r="H20" s="6">
        <v>14.1</v>
      </c>
      <c r="I20" s="6">
        <v>0</v>
      </c>
      <c r="J20" s="6">
        <v>0</v>
      </c>
      <c r="K20" s="6">
        <v>362.2</v>
      </c>
      <c r="L20" s="2">
        <f t="shared" si="0"/>
        <v>1135.67</v>
      </c>
    </row>
    <row r="21" spans="1:12" x14ac:dyDescent="0.35">
      <c r="A21" s="5" t="s">
        <v>30</v>
      </c>
      <c r="B21" s="6">
        <v>2742.96</v>
      </c>
      <c r="C21" s="6">
        <v>9.0399999999999991</v>
      </c>
      <c r="D21" s="6">
        <v>6417.93</v>
      </c>
      <c r="E21" s="6">
        <v>9.91</v>
      </c>
      <c r="F21" s="6">
        <v>0.97</v>
      </c>
      <c r="G21" s="6">
        <v>6.7</v>
      </c>
      <c r="H21" s="6">
        <v>73.8</v>
      </c>
      <c r="I21" s="6">
        <v>0.1</v>
      </c>
      <c r="J21" s="6">
        <v>3.9</v>
      </c>
      <c r="K21" s="6">
        <v>13733.89</v>
      </c>
      <c r="L21" s="2">
        <f t="shared" si="0"/>
        <v>22999.199999999997</v>
      </c>
    </row>
    <row r="22" spans="1:12" x14ac:dyDescent="0.35">
      <c r="A22" s="5" t="s">
        <v>31</v>
      </c>
      <c r="B22" s="6">
        <v>1530.29</v>
      </c>
      <c r="C22" s="6">
        <v>4.7</v>
      </c>
      <c r="D22" s="6">
        <v>2295.27</v>
      </c>
      <c r="E22" s="6">
        <v>0.86</v>
      </c>
      <c r="F22" s="6">
        <v>0.4</v>
      </c>
      <c r="G22" s="6">
        <v>2.8</v>
      </c>
      <c r="H22" s="6">
        <v>58.2</v>
      </c>
      <c r="I22" s="6">
        <v>0</v>
      </c>
      <c r="J22" s="6">
        <v>0.5</v>
      </c>
      <c r="K22" s="6">
        <v>10321.76</v>
      </c>
      <c r="L22" s="2">
        <f t="shared" si="0"/>
        <v>14214.78</v>
      </c>
    </row>
    <row r="23" spans="1:12" x14ac:dyDescent="0.35">
      <c r="A23" s="5" t="s">
        <v>32</v>
      </c>
      <c r="B23" s="6">
        <v>3034.42</v>
      </c>
      <c r="C23" s="6">
        <v>28.02</v>
      </c>
      <c r="D23" s="6">
        <v>8496.7000000000007</v>
      </c>
      <c r="E23" s="6">
        <v>44.64</v>
      </c>
      <c r="F23" s="6">
        <v>5.16</v>
      </c>
      <c r="G23" s="6">
        <v>4.3</v>
      </c>
      <c r="H23" s="6">
        <v>184.6</v>
      </c>
      <c r="I23" s="6">
        <v>0.3</v>
      </c>
      <c r="J23" s="6">
        <v>5.2</v>
      </c>
      <c r="K23" s="6">
        <v>23359.32</v>
      </c>
      <c r="L23" s="2">
        <f t="shared" si="0"/>
        <v>35162.660000000003</v>
      </c>
    </row>
    <row r="24" spans="1:12" x14ac:dyDescent="0.35">
      <c r="A24" s="5" t="s">
        <v>33</v>
      </c>
      <c r="B24" s="6">
        <v>1569.97</v>
      </c>
      <c r="C24" s="6">
        <v>28.4</v>
      </c>
      <c r="D24" s="6">
        <v>6016.76</v>
      </c>
      <c r="E24" s="6">
        <v>0.83</v>
      </c>
      <c r="F24" s="6">
        <v>0.37</v>
      </c>
      <c r="G24" s="6">
        <v>1.3</v>
      </c>
      <c r="H24" s="6">
        <v>127.9</v>
      </c>
      <c r="I24" s="6">
        <v>0.3</v>
      </c>
      <c r="J24" s="6">
        <v>3.6</v>
      </c>
      <c r="K24" s="6">
        <v>4790.12</v>
      </c>
      <c r="L24" s="2">
        <f t="shared" si="0"/>
        <v>12539.55</v>
      </c>
    </row>
    <row r="25" spans="1:12" x14ac:dyDescent="0.35">
      <c r="A25" s="5" t="s">
        <v>34</v>
      </c>
      <c r="B25" s="6">
        <v>1600.02</v>
      </c>
      <c r="C25" s="6">
        <v>22.51</v>
      </c>
      <c r="D25" s="6">
        <v>5737.64</v>
      </c>
      <c r="E25" s="6">
        <v>2.74</v>
      </c>
      <c r="F25" s="6">
        <v>0.75</v>
      </c>
      <c r="G25" s="6">
        <v>10.8</v>
      </c>
      <c r="H25" s="6">
        <v>106.7</v>
      </c>
      <c r="I25" s="6">
        <v>0</v>
      </c>
      <c r="J25" s="6">
        <v>2.6</v>
      </c>
      <c r="K25" s="6">
        <v>12806.55</v>
      </c>
      <c r="L25" s="2">
        <f t="shared" si="0"/>
        <v>20290.309999999998</v>
      </c>
    </row>
    <row r="26" spans="1:12" x14ac:dyDescent="0.35">
      <c r="A26" s="5" t="s">
        <v>35</v>
      </c>
      <c r="B26" s="6">
        <v>0</v>
      </c>
      <c r="C26" s="6">
        <v>1.75</v>
      </c>
      <c r="D26" s="6">
        <v>901.57</v>
      </c>
      <c r="E26" s="6">
        <v>0</v>
      </c>
      <c r="F26" s="6">
        <v>0.86</v>
      </c>
      <c r="G26" s="6">
        <v>0.7</v>
      </c>
      <c r="H26" s="6">
        <v>9.6999999999999993</v>
      </c>
      <c r="I26" s="6">
        <v>0</v>
      </c>
      <c r="J26" s="6">
        <v>1.7</v>
      </c>
      <c r="K26" s="6">
        <v>570.45000000000005</v>
      </c>
      <c r="L26" s="2">
        <f t="shared" si="0"/>
        <v>1486.7300000000002</v>
      </c>
    </row>
    <row r="27" spans="1:12" x14ac:dyDescent="0.35">
      <c r="A27" s="5" t="s">
        <v>36</v>
      </c>
      <c r="B27" s="6">
        <v>1360.93</v>
      </c>
      <c r="C27" s="6">
        <v>27.48</v>
      </c>
      <c r="D27" s="6">
        <v>4694.32</v>
      </c>
      <c r="E27" s="6">
        <v>7.31</v>
      </c>
      <c r="F27" s="6">
        <v>0.24</v>
      </c>
      <c r="G27" s="6">
        <v>30.8</v>
      </c>
      <c r="H27" s="6">
        <v>140</v>
      </c>
      <c r="I27" s="6">
        <v>0</v>
      </c>
      <c r="J27" s="6">
        <v>6.3</v>
      </c>
      <c r="K27" s="6">
        <v>18047.71</v>
      </c>
      <c r="L27" s="2">
        <f t="shared" si="0"/>
        <v>24315.09</v>
      </c>
    </row>
    <row r="28" spans="1:12" x14ac:dyDescent="0.35">
      <c r="A28" s="5" t="s">
        <v>37</v>
      </c>
      <c r="B28" s="6">
        <v>2211.4299999999998</v>
      </c>
      <c r="C28" s="6">
        <v>21.98</v>
      </c>
      <c r="D28" s="6">
        <v>5260.85</v>
      </c>
      <c r="E28" s="6">
        <v>16.64</v>
      </c>
      <c r="F28" s="6">
        <v>1.43</v>
      </c>
      <c r="G28" s="6">
        <v>8.1</v>
      </c>
      <c r="H28" s="6">
        <v>109</v>
      </c>
      <c r="I28" s="6">
        <v>0.2</v>
      </c>
      <c r="J28" s="6">
        <v>3.8</v>
      </c>
      <c r="K28" s="6">
        <v>21373.83</v>
      </c>
      <c r="L28" s="2">
        <f t="shared" si="0"/>
        <v>29007.260000000002</v>
      </c>
    </row>
    <row r="29" spans="1:12" x14ac:dyDescent="0.35">
      <c r="A29" s="5" t="s">
        <v>38</v>
      </c>
      <c r="B29" s="6">
        <v>2902.65</v>
      </c>
      <c r="C29" s="6">
        <v>30.59</v>
      </c>
      <c r="D29" s="6">
        <v>7430.51</v>
      </c>
      <c r="E29" s="6">
        <v>33.520000000000003</v>
      </c>
      <c r="F29" s="6">
        <v>0.38</v>
      </c>
      <c r="G29" s="6">
        <v>1.4</v>
      </c>
      <c r="H29" s="6">
        <v>129.1</v>
      </c>
      <c r="I29" s="6">
        <v>0</v>
      </c>
      <c r="J29" s="6">
        <v>6.9</v>
      </c>
      <c r="K29" s="6">
        <v>5305.2</v>
      </c>
      <c r="L29" s="2">
        <f t="shared" si="0"/>
        <v>15840.25</v>
      </c>
    </row>
    <row r="30" spans="1:12" x14ac:dyDescent="0.35">
      <c r="A30" s="5" t="s">
        <v>39</v>
      </c>
      <c r="B30" s="6">
        <v>1556.96</v>
      </c>
      <c r="C30" s="6">
        <v>12.72</v>
      </c>
      <c r="D30" s="6">
        <v>5587.78</v>
      </c>
      <c r="E30" s="6">
        <v>1.79</v>
      </c>
      <c r="F30" s="6">
        <v>0.43</v>
      </c>
      <c r="G30" s="6">
        <v>1.2</v>
      </c>
      <c r="H30" s="6">
        <v>249.3</v>
      </c>
      <c r="I30" s="6">
        <v>0</v>
      </c>
      <c r="J30" s="6">
        <v>1.1000000000000001</v>
      </c>
      <c r="K30" s="6">
        <v>13696.79</v>
      </c>
      <c r="L30" s="2">
        <f t="shared" si="0"/>
        <v>21108.07</v>
      </c>
    </row>
    <row r="31" spans="1:12" x14ac:dyDescent="0.35">
      <c r="A31" s="5" t="s">
        <v>40</v>
      </c>
      <c r="B31" s="6">
        <v>4882.1099999999997</v>
      </c>
      <c r="C31" s="6">
        <v>39.049999999999997</v>
      </c>
      <c r="D31" s="6">
        <v>12792.49</v>
      </c>
      <c r="E31" s="6">
        <v>2.2000000000000002</v>
      </c>
      <c r="F31" s="6">
        <v>0.1</v>
      </c>
      <c r="G31" s="6">
        <v>5.0999999999999996</v>
      </c>
      <c r="H31" s="6">
        <v>1075.3</v>
      </c>
      <c r="I31" s="6">
        <v>0</v>
      </c>
      <c r="J31" s="6">
        <v>2.9</v>
      </c>
      <c r="K31" s="6">
        <v>11136.47</v>
      </c>
      <c r="L31" s="2">
        <f t="shared" si="0"/>
        <v>29935.72</v>
      </c>
    </row>
    <row r="32" spans="1:12" x14ac:dyDescent="0.35">
      <c r="A32" s="5" t="s">
        <v>41</v>
      </c>
      <c r="B32" s="6">
        <v>2230.6999999999998</v>
      </c>
      <c r="C32" s="6">
        <v>41.7</v>
      </c>
      <c r="D32" s="6">
        <v>9393.17</v>
      </c>
      <c r="E32" s="6">
        <v>65.599999999999994</v>
      </c>
      <c r="F32" s="6">
        <v>1.65</v>
      </c>
      <c r="G32" s="6">
        <v>2.9</v>
      </c>
      <c r="H32" s="6">
        <v>461.5</v>
      </c>
      <c r="I32" s="6">
        <v>0</v>
      </c>
      <c r="J32" s="6">
        <v>1.5</v>
      </c>
      <c r="K32" s="6">
        <v>17036.02</v>
      </c>
      <c r="L32" s="2">
        <f t="shared" si="0"/>
        <v>29234.739999999998</v>
      </c>
    </row>
    <row r="33" spans="1:12" x14ac:dyDescent="0.35">
      <c r="A33" s="5" t="s">
        <v>42</v>
      </c>
      <c r="B33" s="6">
        <v>967.68</v>
      </c>
      <c r="C33" s="6">
        <v>7.22</v>
      </c>
      <c r="D33" s="6">
        <v>2936.36</v>
      </c>
      <c r="E33" s="6">
        <v>0.55000000000000004</v>
      </c>
      <c r="F33" s="6">
        <v>0.27</v>
      </c>
      <c r="G33" s="6">
        <v>1.5</v>
      </c>
      <c r="H33" s="6">
        <v>69.599999999999994</v>
      </c>
      <c r="I33" s="6">
        <v>0</v>
      </c>
      <c r="J33" s="6">
        <v>1.8</v>
      </c>
      <c r="K33" s="6">
        <v>3381.59</v>
      </c>
      <c r="L33" s="2">
        <f t="shared" si="0"/>
        <v>7366.5700000000006</v>
      </c>
    </row>
    <row r="34" spans="1:12" x14ac:dyDescent="0.35">
      <c r="A34" s="5" t="s">
        <v>43</v>
      </c>
      <c r="B34" s="6">
        <v>2936.85</v>
      </c>
      <c r="C34" s="6">
        <v>76.8</v>
      </c>
      <c r="D34" s="6">
        <v>10150.08</v>
      </c>
      <c r="E34" s="6">
        <v>58.33</v>
      </c>
      <c r="F34" s="6">
        <v>24.93</v>
      </c>
      <c r="G34" s="6">
        <v>18.3</v>
      </c>
      <c r="H34" s="6">
        <v>711.3</v>
      </c>
      <c r="I34" s="6">
        <v>0.2</v>
      </c>
      <c r="J34" s="6">
        <v>3.6</v>
      </c>
      <c r="K34" s="6">
        <v>16437.060000000001</v>
      </c>
      <c r="L34" s="2">
        <f t="shared" si="0"/>
        <v>30417.45</v>
      </c>
    </row>
    <row r="35" spans="1:12" x14ac:dyDescent="0.35">
      <c r="A35" s="5" t="s">
        <v>44</v>
      </c>
      <c r="B35" s="6">
        <v>3471.25</v>
      </c>
      <c r="C35" s="6">
        <v>34.06</v>
      </c>
      <c r="D35" s="6">
        <v>9482.3799999999992</v>
      </c>
      <c r="E35" s="6">
        <v>4.0599999999999996</v>
      </c>
      <c r="F35" s="6">
        <v>0.22</v>
      </c>
      <c r="G35" s="6">
        <v>1</v>
      </c>
      <c r="H35" s="6">
        <v>1120.0999999999999</v>
      </c>
      <c r="I35" s="6">
        <v>0</v>
      </c>
      <c r="J35" s="6">
        <v>6.7</v>
      </c>
      <c r="K35" s="6">
        <v>25284.53</v>
      </c>
      <c r="L35" s="2">
        <f t="shared" si="0"/>
        <v>39404.299999999996</v>
      </c>
    </row>
    <row r="36" spans="1:12" x14ac:dyDescent="0.35">
      <c r="A36" s="5" t="s">
        <v>45</v>
      </c>
      <c r="B36" s="6">
        <v>2004.28</v>
      </c>
      <c r="C36" s="6">
        <v>107.4</v>
      </c>
      <c r="D36" s="6">
        <v>12418.99</v>
      </c>
      <c r="E36" s="6">
        <v>40.99</v>
      </c>
      <c r="F36" s="6">
        <v>2.83</v>
      </c>
      <c r="G36" s="6">
        <v>26.2</v>
      </c>
      <c r="H36" s="6">
        <v>368</v>
      </c>
      <c r="I36" s="6">
        <v>0</v>
      </c>
      <c r="J36" s="6">
        <v>8.1999999999999993</v>
      </c>
      <c r="K36" s="6">
        <v>33780.21</v>
      </c>
      <c r="L36" s="2">
        <f t="shared" si="0"/>
        <v>48757.1</v>
      </c>
    </row>
    <row r="37" spans="1:12" x14ac:dyDescent="0.35">
      <c r="A37" s="5" t="s">
        <v>46</v>
      </c>
      <c r="B37" s="6">
        <v>0</v>
      </c>
      <c r="C37" s="6">
        <v>2.46</v>
      </c>
      <c r="D37" s="6">
        <v>2086.94</v>
      </c>
      <c r="E37" s="6">
        <v>0.76</v>
      </c>
      <c r="F37" s="6">
        <v>0.01</v>
      </c>
      <c r="G37" s="6">
        <v>0.2</v>
      </c>
      <c r="H37" s="6">
        <v>11.4</v>
      </c>
      <c r="I37" s="6">
        <v>0.1</v>
      </c>
      <c r="J37" s="6">
        <v>0.1</v>
      </c>
      <c r="K37" s="6">
        <v>1900.22</v>
      </c>
      <c r="L37" s="2">
        <f t="shared" si="0"/>
        <v>4002.1900000000005</v>
      </c>
    </row>
    <row r="38" spans="1:12" x14ac:dyDescent="0.35">
      <c r="A38" s="5" t="s">
        <v>47</v>
      </c>
      <c r="B38" s="6">
        <v>2696.17</v>
      </c>
      <c r="C38" s="6">
        <v>37.47</v>
      </c>
      <c r="D38" s="6">
        <v>7589.3</v>
      </c>
      <c r="E38" s="6">
        <v>23.99</v>
      </c>
      <c r="F38" s="6">
        <v>0.98</v>
      </c>
      <c r="G38" s="6">
        <v>1.5</v>
      </c>
      <c r="H38" s="6">
        <v>1038.5</v>
      </c>
      <c r="I38" s="6">
        <v>0.4</v>
      </c>
      <c r="J38" s="6">
        <v>8.1</v>
      </c>
      <c r="K38" s="6">
        <v>11901.62</v>
      </c>
      <c r="L38" s="2">
        <f t="shared" si="0"/>
        <v>23298.03</v>
      </c>
    </row>
    <row r="39" spans="1:12" x14ac:dyDescent="0.35">
      <c r="A39" s="5" t="s">
        <v>48</v>
      </c>
      <c r="B39" s="6">
        <v>158.62</v>
      </c>
      <c r="C39" s="6">
        <v>7.98</v>
      </c>
      <c r="D39" s="6">
        <v>1725.68</v>
      </c>
      <c r="E39" s="6">
        <v>5.78</v>
      </c>
      <c r="F39" s="6">
        <v>4.33</v>
      </c>
      <c r="G39" s="6">
        <v>0.3</v>
      </c>
      <c r="H39" s="6">
        <v>80.599999999999994</v>
      </c>
      <c r="I39" s="6">
        <v>0</v>
      </c>
      <c r="J39" s="6">
        <v>0.9</v>
      </c>
      <c r="K39" s="6">
        <v>6883.27</v>
      </c>
      <c r="L39" s="2">
        <f t="shared" si="0"/>
        <v>8867.4600000000009</v>
      </c>
    </row>
    <row r="40" spans="1:12" x14ac:dyDescent="0.35">
      <c r="A40" s="5" t="s">
        <v>49</v>
      </c>
      <c r="B40" s="6">
        <v>1434.27</v>
      </c>
      <c r="C40" s="6">
        <v>17.09</v>
      </c>
      <c r="D40" s="6">
        <v>4025.15</v>
      </c>
      <c r="E40" s="6">
        <v>16.55</v>
      </c>
      <c r="F40" s="6">
        <v>0.04</v>
      </c>
      <c r="G40" s="6">
        <v>5.5</v>
      </c>
      <c r="H40" s="6">
        <v>60.7</v>
      </c>
      <c r="I40" s="6">
        <v>0.3</v>
      </c>
      <c r="J40" s="6">
        <v>0.8</v>
      </c>
      <c r="K40" s="6">
        <v>6044.26</v>
      </c>
      <c r="L40" s="2">
        <f t="shared" si="0"/>
        <v>11604.66</v>
      </c>
    </row>
    <row r="41" spans="1:12" x14ac:dyDescent="0.35">
      <c r="A41" s="5" t="s">
        <v>50</v>
      </c>
      <c r="B41" s="6">
        <v>2849.68</v>
      </c>
      <c r="C41" s="6">
        <v>26.26</v>
      </c>
      <c r="D41" s="6">
        <v>9942.75</v>
      </c>
      <c r="E41" s="6">
        <v>19.8</v>
      </c>
      <c r="F41" s="6">
        <v>0.55000000000000004</v>
      </c>
      <c r="G41" s="6">
        <v>5.7</v>
      </c>
      <c r="H41" s="6">
        <v>272.60000000000002</v>
      </c>
      <c r="I41" s="6">
        <v>1.3</v>
      </c>
      <c r="J41" s="6">
        <v>6.5</v>
      </c>
      <c r="K41" s="6">
        <v>28765.45</v>
      </c>
      <c r="L41" s="2">
        <f t="shared" si="0"/>
        <v>41890.589999999997</v>
      </c>
    </row>
    <row r="42" spans="1:12" x14ac:dyDescent="0.35">
      <c r="A42" s="5" t="s">
        <v>51</v>
      </c>
      <c r="B42" s="6">
        <v>2137.71</v>
      </c>
      <c r="C42" s="6">
        <v>27.93</v>
      </c>
      <c r="D42" s="6">
        <v>7179.82</v>
      </c>
      <c r="E42" s="6">
        <v>12</v>
      </c>
      <c r="F42" s="6">
        <v>0.1</v>
      </c>
      <c r="G42" s="6">
        <v>8.4</v>
      </c>
      <c r="H42" s="6">
        <v>496.9</v>
      </c>
      <c r="I42" s="6">
        <v>0.1</v>
      </c>
      <c r="J42" s="6">
        <v>3.5</v>
      </c>
      <c r="K42" s="6">
        <v>15403.55</v>
      </c>
      <c r="L42" s="2">
        <f t="shared" si="0"/>
        <v>25270.01</v>
      </c>
    </row>
    <row r="43" spans="1:12" x14ac:dyDescent="0.35">
      <c r="A43" s="5" t="s">
        <v>52</v>
      </c>
      <c r="B43" s="6">
        <v>1138.05</v>
      </c>
      <c r="C43" s="6">
        <v>61.55</v>
      </c>
      <c r="D43" s="6">
        <v>3696.72</v>
      </c>
      <c r="E43" s="6">
        <v>2.86</v>
      </c>
      <c r="F43" s="6">
        <v>0.11</v>
      </c>
      <c r="G43" s="6">
        <v>2</v>
      </c>
      <c r="H43" s="6">
        <v>48.4</v>
      </c>
      <c r="I43" s="6">
        <v>0.1</v>
      </c>
      <c r="J43" s="6">
        <v>0.2</v>
      </c>
      <c r="K43" s="6">
        <v>14960.3</v>
      </c>
      <c r="L43" s="2">
        <f t="shared" si="0"/>
        <v>19910.289999999997</v>
      </c>
    </row>
    <row r="44" spans="1:12" x14ac:dyDescent="0.35">
      <c r="A44" s="5" t="s">
        <v>53</v>
      </c>
      <c r="B44" s="6">
        <v>3106.57</v>
      </c>
      <c r="C44" s="6">
        <v>37.39</v>
      </c>
      <c r="D44" s="6">
        <v>5509.18</v>
      </c>
      <c r="E44" s="6">
        <v>4.8600000000000003</v>
      </c>
      <c r="F44" s="6">
        <v>13.35</v>
      </c>
      <c r="G44" s="6">
        <v>1.4</v>
      </c>
      <c r="H44" s="6">
        <v>375.2</v>
      </c>
      <c r="I44" s="6">
        <v>0</v>
      </c>
      <c r="J44" s="6">
        <v>2.8</v>
      </c>
      <c r="K44" s="6">
        <v>17655.18</v>
      </c>
      <c r="L44" s="2">
        <f t="shared" si="0"/>
        <v>26705.93</v>
      </c>
    </row>
    <row r="45" spans="1:12" x14ac:dyDescent="0.35">
      <c r="A45" s="5" t="s">
        <v>54</v>
      </c>
      <c r="B45" s="6">
        <v>907.05</v>
      </c>
      <c r="C45" s="6">
        <v>12.91</v>
      </c>
      <c r="D45" s="6">
        <v>3640.25</v>
      </c>
      <c r="E45" s="6">
        <v>7</v>
      </c>
      <c r="F45" s="6">
        <v>0.04</v>
      </c>
      <c r="G45" s="6">
        <v>0.6</v>
      </c>
      <c r="H45" s="6">
        <v>40.200000000000003</v>
      </c>
      <c r="I45" s="6">
        <v>0</v>
      </c>
      <c r="J45" s="6">
        <v>0.9</v>
      </c>
      <c r="K45" s="6">
        <v>2392.08</v>
      </c>
      <c r="L45" s="2">
        <f t="shared" si="0"/>
        <v>7001.03</v>
      </c>
    </row>
    <row r="46" spans="1:12" x14ac:dyDescent="0.35">
      <c r="A46" s="5" t="s">
        <v>55</v>
      </c>
      <c r="B46" s="6">
        <v>2467.14</v>
      </c>
      <c r="C46" s="6">
        <v>29.07</v>
      </c>
      <c r="D46" s="6">
        <v>6479.2</v>
      </c>
      <c r="E46" s="6">
        <v>21.58</v>
      </c>
      <c r="F46" s="6">
        <v>0.47</v>
      </c>
      <c r="G46" s="6">
        <v>6.2</v>
      </c>
      <c r="H46" s="6">
        <v>163.30000000000001</v>
      </c>
      <c r="I46" s="6">
        <v>0.3</v>
      </c>
      <c r="J46" s="6">
        <v>1.6</v>
      </c>
      <c r="K46" s="6">
        <v>22143.17</v>
      </c>
      <c r="L46" s="2">
        <f t="shared" si="0"/>
        <v>31312.03</v>
      </c>
    </row>
    <row r="47" spans="1:12" x14ac:dyDescent="0.35">
      <c r="A47" s="5" t="s">
        <v>56</v>
      </c>
      <c r="B47" s="6">
        <v>7606.96</v>
      </c>
      <c r="C47" s="6">
        <v>51.11</v>
      </c>
      <c r="D47" s="6">
        <v>12432.46</v>
      </c>
      <c r="E47" s="6">
        <v>16.66</v>
      </c>
      <c r="F47" s="6">
        <v>1.6</v>
      </c>
      <c r="G47" s="6">
        <v>6.9</v>
      </c>
      <c r="H47" s="6">
        <v>184.1</v>
      </c>
      <c r="I47" s="6">
        <v>0.3</v>
      </c>
      <c r="J47" s="6">
        <v>5.5</v>
      </c>
      <c r="K47" s="6">
        <v>46343.360000000001</v>
      </c>
      <c r="L47" s="2">
        <f t="shared" si="0"/>
        <v>66648.95</v>
      </c>
    </row>
    <row r="48" spans="1:12" x14ac:dyDescent="0.35">
      <c r="A48" s="5" t="s">
        <v>57</v>
      </c>
      <c r="B48" s="6">
        <v>1600.63</v>
      </c>
      <c r="C48" s="6">
        <v>34.15</v>
      </c>
      <c r="D48" s="6">
        <v>4952.1499999999996</v>
      </c>
      <c r="E48" s="6">
        <v>15.1</v>
      </c>
      <c r="F48" s="6">
        <v>0.39</v>
      </c>
      <c r="G48" s="6">
        <v>4.9000000000000004</v>
      </c>
      <c r="H48" s="6">
        <v>211.9</v>
      </c>
      <c r="I48" s="6">
        <v>0.1</v>
      </c>
      <c r="J48" s="6">
        <v>3</v>
      </c>
      <c r="K48" s="6">
        <v>8899.7900000000009</v>
      </c>
      <c r="L48" s="2">
        <f t="shared" si="0"/>
        <v>15722.11</v>
      </c>
    </row>
    <row r="49" spans="1:12" x14ac:dyDescent="0.35">
      <c r="A49" s="5" t="s">
        <v>58</v>
      </c>
      <c r="B49" s="6">
        <v>277.93</v>
      </c>
      <c r="C49" s="6">
        <v>2.63</v>
      </c>
      <c r="D49" s="6">
        <v>1553.4</v>
      </c>
      <c r="E49" s="6">
        <v>0</v>
      </c>
      <c r="F49" s="6">
        <v>0.04</v>
      </c>
      <c r="G49" s="6">
        <v>0.3</v>
      </c>
      <c r="H49" s="6">
        <v>37.5</v>
      </c>
      <c r="I49" s="6">
        <v>0.1</v>
      </c>
      <c r="J49" s="6">
        <v>0.2</v>
      </c>
      <c r="K49" s="6">
        <v>1183.17</v>
      </c>
      <c r="L49" s="2">
        <f t="shared" si="0"/>
        <v>3055.27</v>
      </c>
    </row>
    <row r="50" spans="1:12" x14ac:dyDescent="0.35">
      <c r="A50" s="5" t="s">
        <v>59</v>
      </c>
      <c r="B50" s="6">
        <v>3807.93</v>
      </c>
      <c r="C50" s="6">
        <v>48.75</v>
      </c>
      <c r="D50" s="6">
        <v>7654.61</v>
      </c>
      <c r="E50" s="6">
        <v>6.9</v>
      </c>
      <c r="F50" s="6">
        <v>0.04</v>
      </c>
      <c r="G50" s="6">
        <v>2.4</v>
      </c>
      <c r="H50" s="6">
        <v>61.7</v>
      </c>
      <c r="I50" s="6">
        <v>0</v>
      </c>
      <c r="J50" s="6">
        <v>11.3</v>
      </c>
      <c r="K50" s="6">
        <v>17207.400000000001</v>
      </c>
      <c r="L50" s="2">
        <f t="shared" si="0"/>
        <v>28801.03</v>
      </c>
    </row>
    <row r="51" spans="1:12" x14ac:dyDescent="0.35">
      <c r="A51" s="5" t="s">
        <v>60</v>
      </c>
      <c r="B51" s="6">
        <v>778.61</v>
      </c>
      <c r="C51" s="6">
        <v>11.53</v>
      </c>
      <c r="D51" s="6">
        <v>2382.2600000000002</v>
      </c>
      <c r="E51" s="6">
        <v>3.85</v>
      </c>
      <c r="F51" s="6">
        <v>0.01</v>
      </c>
      <c r="G51" s="6">
        <v>0.2</v>
      </c>
      <c r="H51" s="6">
        <v>117.8</v>
      </c>
      <c r="I51" s="6">
        <v>0.2</v>
      </c>
      <c r="J51" s="6">
        <v>0</v>
      </c>
      <c r="K51" s="6">
        <v>10410.040000000001</v>
      </c>
      <c r="L51" s="2">
        <f t="shared" si="0"/>
        <v>13704.5</v>
      </c>
    </row>
    <row r="52" spans="1:12" x14ac:dyDescent="0.35">
      <c r="A52" s="5" t="s">
        <v>61</v>
      </c>
      <c r="B52" s="6">
        <v>3759.69</v>
      </c>
      <c r="C52" s="6">
        <v>24.6</v>
      </c>
      <c r="D52" s="6">
        <v>9230.0400000000009</v>
      </c>
      <c r="E52" s="6">
        <v>53.67</v>
      </c>
      <c r="F52" s="6">
        <v>1.7</v>
      </c>
      <c r="G52" s="6">
        <v>9.5</v>
      </c>
      <c r="H52" s="6">
        <v>144</v>
      </c>
      <c r="I52" s="6">
        <v>0.5</v>
      </c>
      <c r="J52" s="6">
        <v>4.5999999999999996</v>
      </c>
      <c r="K52" s="6">
        <v>12933.51</v>
      </c>
      <c r="L52" s="2">
        <f t="shared" si="0"/>
        <v>26161.810000000005</v>
      </c>
    </row>
    <row r="53" spans="1:12" x14ac:dyDescent="0.35">
      <c r="A53" s="5" t="s">
        <v>62</v>
      </c>
      <c r="B53" s="6">
        <v>8002.02</v>
      </c>
      <c r="C53" s="6">
        <v>91.15</v>
      </c>
      <c r="D53" s="6">
        <v>26465.360000000001</v>
      </c>
      <c r="E53" s="6">
        <v>63.82</v>
      </c>
      <c r="F53" s="6">
        <v>7.03</v>
      </c>
      <c r="G53" s="6">
        <v>42.6</v>
      </c>
      <c r="H53" s="6">
        <v>509.8</v>
      </c>
      <c r="I53" s="6">
        <v>0.3</v>
      </c>
      <c r="J53" s="6">
        <v>18</v>
      </c>
      <c r="K53" s="6">
        <v>102672.79</v>
      </c>
      <c r="L53" s="2">
        <f t="shared" si="0"/>
        <v>137872.87</v>
      </c>
    </row>
    <row r="54" spans="1:12" x14ac:dyDescent="0.35">
      <c r="A54" s="5" t="s">
        <v>63</v>
      </c>
      <c r="B54" s="6">
        <v>1536.88</v>
      </c>
      <c r="C54" s="6">
        <v>43.37</v>
      </c>
      <c r="D54" s="6">
        <v>12570.05</v>
      </c>
      <c r="E54" s="6">
        <v>4.71</v>
      </c>
      <c r="F54" s="6">
        <v>0.83</v>
      </c>
      <c r="G54" s="6">
        <v>23.4</v>
      </c>
      <c r="H54" s="6">
        <v>239.5</v>
      </c>
      <c r="I54" s="6">
        <v>0.2</v>
      </c>
      <c r="J54" s="6">
        <v>3.2</v>
      </c>
      <c r="K54" s="6">
        <v>19537.47</v>
      </c>
      <c r="L54" s="2">
        <f t="shared" si="0"/>
        <v>33959.61</v>
      </c>
    </row>
    <row r="55" spans="1:12" x14ac:dyDescent="0.35">
      <c r="A55" s="5" t="s">
        <v>64</v>
      </c>
      <c r="B55" s="6">
        <v>0</v>
      </c>
      <c r="C55" s="6">
        <v>7.13</v>
      </c>
      <c r="D55" s="6">
        <v>2869.81</v>
      </c>
      <c r="E55" s="6">
        <v>0.05</v>
      </c>
      <c r="F55" s="6">
        <v>0.01</v>
      </c>
      <c r="G55" s="6">
        <v>0.7</v>
      </c>
      <c r="H55" s="6">
        <v>49.6</v>
      </c>
      <c r="I55" s="6">
        <v>0</v>
      </c>
      <c r="J55" s="6">
        <v>0.8</v>
      </c>
      <c r="K55" s="6">
        <v>1729.59</v>
      </c>
      <c r="L55" s="2">
        <f t="shared" si="0"/>
        <v>4657.6900000000005</v>
      </c>
    </row>
    <row r="56" spans="1:12" x14ac:dyDescent="0.35">
      <c r="A56" s="5" t="s">
        <v>65</v>
      </c>
      <c r="B56" s="6">
        <v>4567.1099999999997</v>
      </c>
      <c r="C56" s="6">
        <v>39.159999999999997</v>
      </c>
      <c r="D56" s="6">
        <v>10657.73</v>
      </c>
      <c r="E56" s="6">
        <v>31</v>
      </c>
      <c r="F56" s="6">
        <v>0.42</v>
      </c>
      <c r="G56" s="6">
        <v>5.4</v>
      </c>
      <c r="H56" s="6">
        <v>100.3</v>
      </c>
      <c r="I56" s="6">
        <v>0.1</v>
      </c>
      <c r="J56" s="6">
        <v>8.6</v>
      </c>
      <c r="K56" s="6">
        <v>16793.43</v>
      </c>
      <c r="L56" s="2">
        <f t="shared" si="0"/>
        <v>32203.25</v>
      </c>
    </row>
    <row r="57" spans="1:12" x14ac:dyDescent="0.35">
      <c r="A57" s="5" t="s">
        <v>66</v>
      </c>
      <c r="B57" s="6">
        <v>804.92</v>
      </c>
      <c r="C57" s="6">
        <v>39.369999999999997</v>
      </c>
      <c r="D57" s="6">
        <v>5207.5200000000004</v>
      </c>
      <c r="E57" s="6">
        <v>2.34</v>
      </c>
      <c r="F57" s="6">
        <v>2.25</v>
      </c>
      <c r="G57" s="6">
        <v>1.4</v>
      </c>
      <c r="H57" s="6">
        <v>158.69999999999999</v>
      </c>
      <c r="I57" s="6">
        <v>0.8</v>
      </c>
      <c r="J57" s="6">
        <v>5.6</v>
      </c>
      <c r="K57" s="6">
        <v>13272.03</v>
      </c>
      <c r="L57" s="2">
        <f t="shared" si="0"/>
        <v>19494.93</v>
      </c>
    </row>
    <row r="58" spans="1:12" x14ac:dyDescent="0.35">
      <c r="A58" s="5" t="s">
        <v>67</v>
      </c>
      <c r="B58" s="6">
        <v>1317.2</v>
      </c>
      <c r="C58" s="6">
        <v>7.01</v>
      </c>
      <c r="D58" s="6">
        <v>2882.2</v>
      </c>
      <c r="E58" s="6">
        <v>18.8</v>
      </c>
      <c r="F58" s="6">
        <v>1.21</v>
      </c>
      <c r="G58" s="6">
        <v>2.7</v>
      </c>
      <c r="H58" s="6">
        <v>67.7</v>
      </c>
      <c r="I58" s="6">
        <v>0.4</v>
      </c>
      <c r="J58" s="6">
        <v>1.3</v>
      </c>
      <c r="K58" s="6">
        <v>6021.89</v>
      </c>
      <c r="L58" s="2">
        <f t="shared" si="0"/>
        <v>10320.41</v>
      </c>
    </row>
    <row r="59" spans="1:12" x14ac:dyDescent="0.35">
      <c r="A59" s="5" t="s">
        <v>68</v>
      </c>
      <c r="B59" s="6">
        <v>4568.9399999999996</v>
      </c>
      <c r="C59" s="6">
        <v>40.04</v>
      </c>
      <c r="D59" s="6">
        <v>7823.31</v>
      </c>
      <c r="E59" s="6">
        <v>38.97</v>
      </c>
      <c r="F59" s="6">
        <v>0.49</v>
      </c>
      <c r="G59" s="6">
        <v>5.9</v>
      </c>
      <c r="H59" s="6">
        <v>128.5</v>
      </c>
      <c r="I59" s="6">
        <v>0.5</v>
      </c>
      <c r="J59" s="6">
        <v>11.2</v>
      </c>
      <c r="K59" s="6">
        <v>16294.3</v>
      </c>
      <c r="L59" s="2">
        <f t="shared" si="0"/>
        <v>28912.15</v>
      </c>
    </row>
    <row r="60" spans="1:12" x14ac:dyDescent="0.35">
      <c r="A60" s="4" t="s">
        <v>69</v>
      </c>
      <c r="B60" s="7">
        <v>119994.74</v>
      </c>
      <c r="C60" s="7">
        <v>1470.07</v>
      </c>
      <c r="D60" s="7">
        <v>355332.85</v>
      </c>
      <c r="E60" s="7">
        <v>1036.98</v>
      </c>
      <c r="F60" s="7">
        <v>93.73</v>
      </c>
      <c r="G60" s="7">
        <v>313.39999999999998</v>
      </c>
      <c r="H60" s="7">
        <v>11278.4</v>
      </c>
      <c r="I60" s="7">
        <v>11.4</v>
      </c>
      <c r="J60" s="7">
        <v>227.1</v>
      </c>
      <c r="K60" s="7">
        <v>815680.14</v>
      </c>
      <c r="L60" s="2">
        <f t="shared" si="0"/>
        <v>1305438.81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1BEC-3F5E-48B6-ADB6-BDDCE60CAB1A}">
  <dimension ref="A1:L63"/>
  <sheetViews>
    <sheetView topLeftCell="H2" workbookViewId="0">
      <selection activeCell="B18" sqref="B18:L18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9" max="9" width="19.5429687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2571.42</v>
      </c>
      <c r="C2" s="6">
        <v>31.82</v>
      </c>
      <c r="D2" s="6">
        <v>8184.59</v>
      </c>
      <c r="E2" s="6">
        <v>158.31</v>
      </c>
      <c r="F2" s="6">
        <v>0.28999999999999998</v>
      </c>
      <c r="G2" s="6">
        <v>2.8</v>
      </c>
      <c r="H2" s="6">
        <v>74.599999999999994</v>
      </c>
      <c r="I2" s="6">
        <v>1.1000000000000001</v>
      </c>
      <c r="J2" s="6">
        <v>4</v>
      </c>
      <c r="K2" s="6">
        <v>15333.88</v>
      </c>
      <c r="L2" s="13">
        <f>SUM(B2:K2)</f>
        <v>26362.809999999998</v>
      </c>
    </row>
    <row r="3" spans="1:12" x14ac:dyDescent="0.35">
      <c r="A3" s="5" t="s">
        <v>12</v>
      </c>
      <c r="B3" s="6">
        <v>293.10000000000002</v>
      </c>
      <c r="C3" s="6">
        <v>10.72</v>
      </c>
      <c r="D3" s="6">
        <v>1681.18</v>
      </c>
      <c r="E3" s="6">
        <v>0.62</v>
      </c>
      <c r="F3" s="6">
        <v>0.78</v>
      </c>
      <c r="G3" s="6">
        <v>0.5</v>
      </c>
      <c r="H3" s="6">
        <v>26.7</v>
      </c>
      <c r="I3" s="6">
        <v>0</v>
      </c>
      <c r="J3" s="6">
        <v>0.4</v>
      </c>
      <c r="K3" s="6">
        <v>5954.52</v>
      </c>
      <c r="L3" s="13">
        <f t="shared" ref="L3:L61" si="0">SUM(B3:K3)</f>
        <v>7968.52</v>
      </c>
    </row>
    <row r="4" spans="1:12" x14ac:dyDescent="0.35">
      <c r="A4" s="5" t="s">
        <v>13</v>
      </c>
      <c r="B4" s="6">
        <v>675.1</v>
      </c>
      <c r="C4" s="6">
        <v>16.09</v>
      </c>
      <c r="D4" s="6">
        <v>3813.07</v>
      </c>
      <c r="E4" s="6">
        <v>9.7200000000000006</v>
      </c>
      <c r="F4" s="6">
        <v>7.0000000000000007E-2</v>
      </c>
      <c r="G4" s="6">
        <v>1.4</v>
      </c>
      <c r="H4" s="6">
        <v>70.7</v>
      </c>
      <c r="I4" s="6">
        <v>0.1</v>
      </c>
      <c r="J4" s="6">
        <v>2.7</v>
      </c>
      <c r="K4" s="6">
        <v>8789.48</v>
      </c>
      <c r="L4" s="13">
        <f t="shared" si="0"/>
        <v>13378.43</v>
      </c>
    </row>
    <row r="5" spans="1:12" x14ac:dyDescent="0.35">
      <c r="A5" s="5" t="s">
        <v>14</v>
      </c>
      <c r="B5" s="6">
        <v>1102.27</v>
      </c>
      <c r="C5" s="6">
        <v>18.61</v>
      </c>
      <c r="D5" s="6">
        <v>2246.08</v>
      </c>
      <c r="E5" s="6">
        <v>0.45</v>
      </c>
      <c r="F5" s="6">
        <v>0.04</v>
      </c>
      <c r="G5" s="6">
        <v>0.5</v>
      </c>
      <c r="H5" s="6">
        <v>87.1</v>
      </c>
      <c r="I5" s="6">
        <v>0</v>
      </c>
      <c r="J5" s="6">
        <v>0.8</v>
      </c>
      <c r="K5" s="6">
        <v>8286.89</v>
      </c>
      <c r="L5" s="13">
        <f t="shared" si="0"/>
        <v>11742.74</v>
      </c>
    </row>
    <row r="6" spans="1:12" x14ac:dyDescent="0.35">
      <c r="A6" s="5" t="s">
        <v>15</v>
      </c>
      <c r="B6" s="6">
        <v>2505.8000000000002</v>
      </c>
      <c r="C6" s="6">
        <v>20.03</v>
      </c>
      <c r="D6" s="6">
        <v>6519.95</v>
      </c>
      <c r="E6" s="6">
        <v>20.73</v>
      </c>
      <c r="F6" s="6">
        <v>0.39</v>
      </c>
      <c r="G6" s="6">
        <v>3.6</v>
      </c>
      <c r="H6" s="6">
        <v>81.599999999999994</v>
      </c>
      <c r="I6" s="6">
        <v>0.6</v>
      </c>
      <c r="J6" s="6">
        <v>3.4</v>
      </c>
      <c r="K6" s="6">
        <v>17424.18</v>
      </c>
      <c r="L6" s="13">
        <f t="shared" si="0"/>
        <v>26580.28</v>
      </c>
    </row>
    <row r="7" spans="1:12" x14ac:dyDescent="0.35">
      <c r="A7" s="5" t="s">
        <v>16</v>
      </c>
      <c r="B7" s="6">
        <v>1167.22</v>
      </c>
      <c r="C7" s="6">
        <v>18.43</v>
      </c>
      <c r="D7" s="6">
        <v>5912.32</v>
      </c>
      <c r="E7" s="6">
        <v>12.75</v>
      </c>
      <c r="F7" s="6">
        <v>0.1</v>
      </c>
      <c r="G7" s="6">
        <v>1.1000000000000001</v>
      </c>
      <c r="H7" s="6">
        <v>157.19999999999999</v>
      </c>
      <c r="I7" s="6">
        <v>0</v>
      </c>
      <c r="J7" s="6">
        <v>12.4</v>
      </c>
      <c r="K7" s="6">
        <v>13702.96</v>
      </c>
      <c r="L7" s="13">
        <f t="shared" si="0"/>
        <v>20984.48</v>
      </c>
    </row>
    <row r="8" spans="1:12" x14ac:dyDescent="0.35">
      <c r="A8" s="5" t="s">
        <v>17</v>
      </c>
      <c r="B8" s="6">
        <v>2071.37</v>
      </c>
      <c r="C8" s="6">
        <v>15.44</v>
      </c>
      <c r="D8" s="6">
        <v>8327.34</v>
      </c>
      <c r="E8" s="6">
        <v>10.15</v>
      </c>
      <c r="F8" s="6">
        <v>1.1200000000000001</v>
      </c>
      <c r="G8" s="6">
        <v>3.2</v>
      </c>
      <c r="H8" s="6">
        <v>143.6</v>
      </c>
      <c r="I8" s="6">
        <v>0</v>
      </c>
      <c r="J8" s="6">
        <v>2</v>
      </c>
      <c r="K8" s="6">
        <v>9544.66</v>
      </c>
      <c r="L8" s="13">
        <f t="shared" si="0"/>
        <v>20118.88</v>
      </c>
    </row>
    <row r="9" spans="1:12" x14ac:dyDescent="0.35">
      <c r="A9" s="5" t="s">
        <v>18</v>
      </c>
      <c r="B9" s="6">
        <v>4121.18</v>
      </c>
      <c r="C9" s="6">
        <v>26.69</v>
      </c>
      <c r="D9" s="6">
        <v>7357.51</v>
      </c>
      <c r="E9" s="6">
        <v>13.25</v>
      </c>
      <c r="F9" s="6">
        <v>0.32</v>
      </c>
      <c r="G9" s="6">
        <v>3</v>
      </c>
      <c r="H9" s="6">
        <v>174</v>
      </c>
      <c r="I9" s="6">
        <v>0.1</v>
      </c>
      <c r="J9" s="6">
        <v>3.8</v>
      </c>
      <c r="K9" s="6">
        <v>12663.27</v>
      </c>
      <c r="L9" s="13">
        <f t="shared" si="0"/>
        <v>24363.120000000003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13">
        <f t="shared" si="0"/>
        <v>0</v>
      </c>
    </row>
    <row r="11" spans="1:12" x14ac:dyDescent="0.35">
      <c r="A11" s="5" t="s">
        <v>20</v>
      </c>
      <c r="B11" s="6">
        <v>1045.1400000000001</v>
      </c>
      <c r="C11" s="6">
        <v>4.3</v>
      </c>
      <c r="D11" s="6">
        <v>5145.32</v>
      </c>
      <c r="E11" s="6">
        <v>187</v>
      </c>
      <c r="F11" s="6">
        <v>0</v>
      </c>
      <c r="G11" s="6">
        <v>0.4</v>
      </c>
      <c r="H11" s="6">
        <v>241</v>
      </c>
      <c r="I11" s="6">
        <v>0</v>
      </c>
      <c r="J11" s="6">
        <v>1.6</v>
      </c>
      <c r="K11" s="6">
        <v>8394.31</v>
      </c>
      <c r="L11" s="13">
        <f t="shared" si="0"/>
        <v>15019.07</v>
      </c>
    </row>
    <row r="12" spans="1:12" x14ac:dyDescent="0.35">
      <c r="A12" s="5" t="s">
        <v>21</v>
      </c>
      <c r="B12" s="6">
        <v>2766.71</v>
      </c>
      <c r="C12" s="6">
        <v>24.57</v>
      </c>
      <c r="D12" s="6">
        <v>7616.46</v>
      </c>
      <c r="E12" s="6">
        <v>13.29</v>
      </c>
      <c r="F12" s="6">
        <v>2.93</v>
      </c>
      <c r="G12" s="6">
        <v>5.6</v>
      </c>
      <c r="H12" s="6">
        <v>167.1</v>
      </c>
      <c r="I12" s="6">
        <v>0.1</v>
      </c>
      <c r="J12" s="6">
        <v>7.2</v>
      </c>
      <c r="K12" s="6">
        <v>27016.17</v>
      </c>
      <c r="L12" s="13">
        <f t="shared" si="0"/>
        <v>37620.130000000005</v>
      </c>
    </row>
    <row r="13" spans="1:12" x14ac:dyDescent="0.35">
      <c r="A13" s="5" t="s">
        <v>22</v>
      </c>
      <c r="B13" s="6">
        <v>4088.22</v>
      </c>
      <c r="C13" s="6">
        <v>9.0399999999999991</v>
      </c>
      <c r="D13" s="6">
        <v>8468.9500000000007</v>
      </c>
      <c r="E13" s="6">
        <v>20.48</v>
      </c>
      <c r="F13" s="6">
        <v>0.85</v>
      </c>
      <c r="G13" s="6">
        <v>5.2</v>
      </c>
      <c r="H13" s="6">
        <v>90.8</v>
      </c>
      <c r="I13" s="6">
        <v>0.4</v>
      </c>
      <c r="J13" s="6">
        <v>3.3</v>
      </c>
      <c r="K13" s="6">
        <v>24749.66</v>
      </c>
      <c r="L13" s="13">
        <f t="shared" si="0"/>
        <v>37436.9</v>
      </c>
    </row>
    <row r="14" spans="1:12" x14ac:dyDescent="0.35">
      <c r="A14" s="5" t="s">
        <v>23</v>
      </c>
      <c r="B14" s="6">
        <v>608.88</v>
      </c>
      <c r="C14" s="6">
        <v>10.42</v>
      </c>
      <c r="D14" s="6">
        <v>2189</v>
      </c>
      <c r="E14" s="6">
        <v>0.85</v>
      </c>
      <c r="F14" s="6">
        <v>0.32</v>
      </c>
      <c r="G14" s="6">
        <v>1.1000000000000001</v>
      </c>
      <c r="H14" s="6">
        <v>79.2</v>
      </c>
      <c r="I14" s="6">
        <v>0.3</v>
      </c>
      <c r="J14" s="6">
        <v>0.5</v>
      </c>
      <c r="K14" s="6">
        <v>5950.2</v>
      </c>
      <c r="L14" s="6">
        <f t="shared" si="0"/>
        <v>8840.77</v>
      </c>
    </row>
    <row r="15" spans="1:12" x14ac:dyDescent="0.35">
      <c r="A15" s="5" t="s">
        <v>24</v>
      </c>
      <c r="B15" s="6">
        <v>1765.27</v>
      </c>
      <c r="C15" s="6">
        <v>13.97</v>
      </c>
      <c r="D15" s="6">
        <v>5620.16</v>
      </c>
      <c r="E15" s="6">
        <v>9.19</v>
      </c>
      <c r="F15" s="6">
        <v>0</v>
      </c>
      <c r="G15" s="6">
        <v>1.7</v>
      </c>
      <c r="H15" s="6">
        <v>60.4</v>
      </c>
      <c r="I15" s="6">
        <v>0.1</v>
      </c>
      <c r="J15" s="6">
        <v>6.3</v>
      </c>
      <c r="K15" s="6">
        <v>10319.700000000001</v>
      </c>
      <c r="L15" s="13">
        <f t="shared" si="0"/>
        <v>17796.79</v>
      </c>
    </row>
    <row r="16" spans="1:12" x14ac:dyDescent="0.35">
      <c r="A16" s="5" t="s">
        <v>25</v>
      </c>
      <c r="B16" s="6">
        <v>257.64999999999998</v>
      </c>
      <c r="C16" s="6">
        <v>15.99</v>
      </c>
      <c r="D16" s="6">
        <v>1843.1</v>
      </c>
      <c r="E16" s="6">
        <v>11.25</v>
      </c>
      <c r="F16" s="6">
        <v>0</v>
      </c>
      <c r="G16" s="6">
        <v>0.4</v>
      </c>
      <c r="H16" s="6">
        <v>24.8</v>
      </c>
      <c r="I16" s="6">
        <v>0</v>
      </c>
      <c r="J16" s="6">
        <v>1</v>
      </c>
      <c r="K16" s="6">
        <v>3415.2</v>
      </c>
      <c r="L16" s="13">
        <f t="shared" si="0"/>
        <v>5569.3899999999994</v>
      </c>
    </row>
    <row r="17" spans="1:12" x14ac:dyDescent="0.35">
      <c r="A17" s="5" t="s">
        <v>26</v>
      </c>
      <c r="B17" s="6">
        <v>620.61</v>
      </c>
      <c r="C17" s="6">
        <v>12.35</v>
      </c>
      <c r="D17" s="6">
        <v>2868.15</v>
      </c>
      <c r="E17" s="6">
        <v>2.12</v>
      </c>
      <c r="F17" s="6">
        <v>0.37</v>
      </c>
      <c r="G17" s="6">
        <v>0.1</v>
      </c>
      <c r="H17" s="6">
        <v>98.1</v>
      </c>
      <c r="I17" s="6">
        <v>0</v>
      </c>
      <c r="J17" s="6">
        <v>2.2000000000000002</v>
      </c>
      <c r="K17" s="6">
        <v>13839.62</v>
      </c>
      <c r="L17" s="13">
        <f t="shared" si="0"/>
        <v>17443.62</v>
      </c>
    </row>
    <row r="18" spans="1:12" x14ac:dyDescent="0.35">
      <c r="A18" t="s">
        <v>93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35">
      <c r="A19" s="5" t="s">
        <v>27</v>
      </c>
      <c r="B19" s="6">
        <v>2409.87</v>
      </c>
      <c r="C19" s="6">
        <v>8.86</v>
      </c>
      <c r="D19" s="6">
        <v>5775.3</v>
      </c>
      <c r="E19" s="6">
        <v>31.69</v>
      </c>
      <c r="F19" s="6">
        <v>0.23</v>
      </c>
      <c r="G19" s="6">
        <v>1.7</v>
      </c>
      <c r="H19" s="6">
        <v>139.69999999999999</v>
      </c>
      <c r="I19" s="6">
        <v>0.3</v>
      </c>
      <c r="J19" s="6">
        <v>4.8</v>
      </c>
      <c r="K19" s="6">
        <v>17148.21</v>
      </c>
      <c r="L19" s="13">
        <f t="shared" si="0"/>
        <v>25520.66</v>
      </c>
    </row>
    <row r="20" spans="1:12" x14ac:dyDescent="0.35">
      <c r="A20" s="5" t="s">
        <v>28</v>
      </c>
      <c r="B20" s="6">
        <v>1767.83</v>
      </c>
      <c r="C20" s="6">
        <v>31.12</v>
      </c>
      <c r="D20" s="6">
        <v>4690.88</v>
      </c>
      <c r="E20" s="6">
        <v>2.8</v>
      </c>
      <c r="F20" s="6">
        <v>0.7</v>
      </c>
      <c r="G20" s="6">
        <v>3</v>
      </c>
      <c r="H20" s="6">
        <v>140.1</v>
      </c>
      <c r="I20" s="6">
        <v>0</v>
      </c>
      <c r="J20" s="6">
        <v>4.7</v>
      </c>
      <c r="K20" s="6">
        <v>7295.73</v>
      </c>
      <c r="L20" s="13">
        <f t="shared" si="0"/>
        <v>13936.86</v>
      </c>
    </row>
    <row r="21" spans="1:12" x14ac:dyDescent="0.35">
      <c r="A21" s="5" t="s">
        <v>94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6">
        <f>SUM(B21:K21)</f>
        <v>0</v>
      </c>
    </row>
    <row r="22" spans="1:12" x14ac:dyDescent="0.35">
      <c r="A22" s="5" t="s">
        <v>29</v>
      </c>
      <c r="B22" s="6">
        <v>1561.75</v>
      </c>
      <c r="C22" s="6">
        <v>28.69</v>
      </c>
      <c r="D22" s="6">
        <v>9061.2000000000007</v>
      </c>
      <c r="E22" s="6">
        <v>5.96</v>
      </c>
      <c r="F22" s="6">
        <v>2.1800000000000002</v>
      </c>
      <c r="G22" s="6">
        <v>2.8</v>
      </c>
      <c r="H22" s="6">
        <v>264.2</v>
      </c>
      <c r="I22" s="6">
        <v>0</v>
      </c>
      <c r="J22" s="6">
        <v>3.7</v>
      </c>
      <c r="K22" s="6">
        <v>10196.52</v>
      </c>
      <c r="L22" s="13">
        <f t="shared" si="0"/>
        <v>21127</v>
      </c>
    </row>
    <row r="23" spans="1:12" x14ac:dyDescent="0.35">
      <c r="A23" s="5" t="s">
        <v>30</v>
      </c>
      <c r="B23" s="6">
        <v>2493.5500000000002</v>
      </c>
      <c r="C23" s="6">
        <v>7.16</v>
      </c>
      <c r="D23" s="6">
        <v>5731.48</v>
      </c>
      <c r="E23" s="6">
        <v>13.63</v>
      </c>
      <c r="F23" s="6">
        <v>1.78</v>
      </c>
      <c r="G23" s="6">
        <v>3.7</v>
      </c>
      <c r="H23" s="6">
        <v>50.6</v>
      </c>
      <c r="I23" s="6">
        <v>0.1</v>
      </c>
      <c r="J23" s="6">
        <v>3.1</v>
      </c>
      <c r="K23" s="6">
        <v>16309.57</v>
      </c>
      <c r="L23" s="13">
        <f t="shared" si="0"/>
        <v>24614.67</v>
      </c>
    </row>
    <row r="24" spans="1:12" x14ac:dyDescent="0.35">
      <c r="A24" s="5" t="s">
        <v>31</v>
      </c>
      <c r="B24" s="6">
        <v>1242.17</v>
      </c>
      <c r="C24" s="6">
        <v>13.16</v>
      </c>
      <c r="D24" s="6">
        <v>2097.0500000000002</v>
      </c>
      <c r="E24" s="6">
        <v>3.28</v>
      </c>
      <c r="F24" s="6">
        <v>0</v>
      </c>
      <c r="G24" s="6">
        <v>4.4000000000000004</v>
      </c>
      <c r="H24" s="6">
        <v>42.1</v>
      </c>
      <c r="I24" s="6">
        <v>0</v>
      </c>
      <c r="J24" s="6">
        <v>2</v>
      </c>
      <c r="K24" s="6">
        <v>9469.16</v>
      </c>
      <c r="L24" s="13">
        <f t="shared" si="0"/>
        <v>12873.32</v>
      </c>
    </row>
    <row r="25" spans="1:12" x14ac:dyDescent="0.35">
      <c r="A25" s="5" t="s">
        <v>32</v>
      </c>
      <c r="B25" s="6">
        <v>3076.55</v>
      </c>
      <c r="C25" s="6">
        <v>26.76</v>
      </c>
      <c r="D25" s="6">
        <v>8325.19</v>
      </c>
      <c r="E25" s="6">
        <v>26.27</v>
      </c>
      <c r="F25" s="6">
        <v>4.66</v>
      </c>
      <c r="G25" s="6">
        <v>7.7</v>
      </c>
      <c r="H25" s="6">
        <v>231</v>
      </c>
      <c r="I25" s="6">
        <v>0</v>
      </c>
      <c r="J25" s="6">
        <v>6.2</v>
      </c>
      <c r="K25" s="6">
        <v>23924.97</v>
      </c>
      <c r="L25" s="13">
        <f t="shared" si="0"/>
        <v>35629.300000000003</v>
      </c>
    </row>
    <row r="26" spans="1:12" x14ac:dyDescent="0.35">
      <c r="A26" s="5" t="s">
        <v>33</v>
      </c>
      <c r="B26" s="6">
        <v>1221.67</v>
      </c>
      <c r="C26" s="6">
        <v>35.869999999999997</v>
      </c>
      <c r="D26" s="6">
        <v>5207.13</v>
      </c>
      <c r="E26" s="6">
        <v>0.4</v>
      </c>
      <c r="F26" s="6">
        <v>0.61</v>
      </c>
      <c r="G26" s="6">
        <v>4.0999999999999996</v>
      </c>
      <c r="H26" s="6">
        <v>321.39999999999998</v>
      </c>
      <c r="I26" s="6">
        <v>0.3</v>
      </c>
      <c r="J26" s="6">
        <v>3.3</v>
      </c>
      <c r="K26" s="6">
        <v>5358.22</v>
      </c>
      <c r="L26" s="13">
        <f t="shared" si="0"/>
        <v>12153</v>
      </c>
    </row>
    <row r="27" spans="1:12" x14ac:dyDescent="0.35">
      <c r="A27" s="5" t="s">
        <v>34</v>
      </c>
      <c r="B27" s="6">
        <v>1694.22</v>
      </c>
      <c r="C27" s="6">
        <v>9.9700000000000006</v>
      </c>
      <c r="D27" s="6">
        <v>5739.03</v>
      </c>
      <c r="E27" s="6">
        <v>3.59</v>
      </c>
      <c r="F27" s="6">
        <v>1.3</v>
      </c>
      <c r="G27" s="6">
        <v>10.7</v>
      </c>
      <c r="H27" s="6">
        <v>51.9</v>
      </c>
      <c r="I27" s="6">
        <v>0</v>
      </c>
      <c r="J27" s="6">
        <v>5.5</v>
      </c>
      <c r="K27" s="6">
        <v>12497.69</v>
      </c>
      <c r="L27" s="13">
        <f t="shared" si="0"/>
        <v>20013.900000000001</v>
      </c>
    </row>
    <row r="28" spans="1:12" x14ac:dyDescent="0.35">
      <c r="A28" s="5" t="s">
        <v>35</v>
      </c>
      <c r="B28" s="6">
        <v>1344.5</v>
      </c>
      <c r="C28" s="6">
        <v>32.450000000000003</v>
      </c>
      <c r="D28" s="6">
        <v>9379.89</v>
      </c>
      <c r="E28" s="6">
        <v>3.61</v>
      </c>
      <c r="F28" s="6">
        <v>0.14000000000000001</v>
      </c>
      <c r="G28" s="6">
        <v>4.9000000000000004</v>
      </c>
      <c r="H28" s="6">
        <v>121.1</v>
      </c>
      <c r="I28" s="6">
        <v>0.1</v>
      </c>
      <c r="J28" s="6">
        <v>2.2000000000000002</v>
      </c>
      <c r="K28" s="6">
        <v>14287.25</v>
      </c>
      <c r="L28" s="13">
        <f t="shared" si="0"/>
        <v>25176.14</v>
      </c>
    </row>
    <row r="29" spans="1:12" x14ac:dyDescent="0.35">
      <c r="A29" s="5" t="s">
        <v>36</v>
      </c>
      <c r="B29" s="6">
        <v>1303.58</v>
      </c>
      <c r="C29" s="6">
        <v>16.25</v>
      </c>
      <c r="D29" s="6">
        <v>4677.91</v>
      </c>
      <c r="E29" s="6">
        <v>1.68</v>
      </c>
      <c r="F29" s="6">
        <v>0.73</v>
      </c>
      <c r="G29" s="6">
        <v>2.5</v>
      </c>
      <c r="H29" s="6">
        <v>129.19999999999999</v>
      </c>
      <c r="I29" s="6">
        <v>0</v>
      </c>
      <c r="J29" s="6">
        <v>2.4</v>
      </c>
      <c r="K29" s="6">
        <v>19570.05</v>
      </c>
      <c r="L29" s="13">
        <f t="shared" si="0"/>
        <v>25704.3</v>
      </c>
    </row>
    <row r="30" spans="1:12" x14ac:dyDescent="0.35">
      <c r="A30" s="5" t="s">
        <v>37</v>
      </c>
      <c r="B30" s="6">
        <v>2376.7600000000002</v>
      </c>
      <c r="C30" s="6">
        <v>14.96</v>
      </c>
      <c r="D30" s="6">
        <v>5130.2</v>
      </c>
      <c r="E30" s="6">
        <v>15.03</v>
      </c>
      <c r="F30" s="6">
        <v>3.31</v>
      </c>
      <c r="G30" s="6">
        <v>1.5</v>
      </c>
      <c r="H30" s="6">
        <v>74.2</v>
      </c>
      <c r="I30" s="6">
        <v>0</v>
      </c>
      <c r="J30" s="6">
        <v>3.8</v>
      </c>
      <c r="K30" s="6">
        <v>23462.959999999999</v>
      </c>
      <c r="L30" s="13">
        <f t="shared" si="0"/>
        <v>31082.720000000001</v>
      </c>
    </row>
    <row r="31" spans="1:12" x14ac:dyDescent="0.35">
      <c r="A31" s="5" t="s">
        <v>38</v>
      </c>
      <c r="B31" s="6">
        <v>2349.59</v>
      </c>
      <c r="C31" s="6">
        <v>22.17</v>
      </c>
      <c r="D31" s="6">
        <v>8295.4</v>
      </c>
      <c r="E31" s="6">
        <v>36.229999999999997</v>
      </c>
      <c r="F31" s="6">
        <v>4.8099999999999996</v>
      </c>
      <c r="G31" s="6">
        <v>2.8</v>
      </c>
      <c r="H31" s="6">
        <v>131</v>
      </c>
      <c r="I31" s="6">
        <v>0.2</v>
      </c>
      <c r="J31" s="6">
        <v>3.2</v>
      </c>
      <c r="K31" s="6">
        <v>6072.89</v>
      </c>
      <c r="L31" s="13">
        <f t="shared" si="0"/>
        <v>16918.29</v>
      </c>
    </row>
    <row r="32" spans="1:12" x14ac:dyDescent="0.35">
      <c r="A32" s="5" t="s">
        <v>39</v>
      </c>
      <c r="B32" s="6">
        <v>1566.12</v>
      </c>
      <c r="C32" s="6">
        <v>19.850000000000001</v>
      </c>
      <c r="D32" s="6">
        <v>4652.6899999999996</v>
      </c>
      <c r="E32" s="6">
        <v>14.47</v>
      </c>
      <c r="F32" s="6">
        <v>0</v>
      </c>
      <c r="G32" s="6">
        <v>3.1</v>
      </c>
      <c r="H32" s="6">
        <v>240.4</v>
      </c>
      <c r="I32" s="6">
        <v>0.1</v>
      </c>
      <c r="J32" s="6">
        <v>0.4</v>
      </c>
      <c r="K32" s="6">
        <v>15342.99</v>
      </c>
      <c r="L32" s="13">
        <f t="shared" si="0"/>
        <v>21840.12</v>
      </c>
    </row>
    <row r="33" spans="1:12" x14ac:dyDescent="0.35">
      <c r="A33" s="5" t="s">
        <v>40</v>
      </c>
      <c r="B33" s="6">
        <v>6329.46</v>
      </c>
      <c r="C33" s="6">
        <v>36.22</v>
      </c>
      <c r="D33" s="6">
        <v>14224.82</v>
      </c>
      <c r="E33" s="6">
        <v>2.88</v>
      </c>
      <c r="F33" s="6">
        <v>0.12</v>
      </c>
      <c r="G33" s="6">
        <v>1.7</v>
      </c>
      <c r="H33" s="6">
        <v>854.6</v>
      </c>
      <c r="I33" s="6">
        <v>0</v>
      </c>
      <c r="J33" s="6">
        <v>1.8</v>
      </c>
      <c r="K33" s="6">
        <v>11781.9</v>
      </c>
      <c r="L33" s="13">
        <f t="shared" si="0"/>
        <v>33233.5</v>
      </c>
    </row>
    <row r="34" spans="1:12" x14ac:dyDescent="0.35">
      <c r="A34" s="5" t="s">
        <v>41</v>
      </c>
      <c r="B34" s="6">
        <v>2395.0500000000002</v>
      </c>
      <c r="C34" s="6">
        <v>70.400000000000006</v>
      </c>
      <c r="D34" s="6">
        <v>9886.75</v>
      </c>
      <c r="E34" s="6">
        <v>69.5</v>
      </c>
      <c r="F34" s="6">
        <v>2.2799999999999998</v>
      </c>
      <c r="G34" s="6">
        <v>4.5</v>
      </c>
      <c r="H34" s="6">
        <v>427.1</v>
      </c>
      <c r="I34" s="6">
        <v>0</v>
      </c>
      <c r="J34" s="6">
        <v>1.7</v>
      </c>
      <c r="K34" s="6">
        <v>22048.55</v>
      </c>
      <c r="L34" s="13">
        <f t="shared" si="0"/>
        <v>34905.83</v>
      </c>
    </row>
    <row r="35" spans="1:12" x14ac:dyDescent="0.35">
      <c r="A35" s="5" t="s">
        <v>42</v>
      </c>
      <c r="B35" s="6">
        <v>703.34</v>
      </c>
      <c r="C35" s="6">
        <v>7.64</v>
      </c>
      <c r="D35" s="6">
        <v>2605.4699999999998</v>
      </c>
      <c r="E35" s="6">
        <v>2.72</v>
      </c>
      <c r="F35" s="6">
        <v>0.18</v>
      </c>
      <c r="G35" s="6">
        <v>0.4</v>
      </c>
      <c r="H35" s="6">
        <v>48.2</v>
      </c>
      <c r="I35" s="6">
        <v>0</v>
      </c>
      <c r="J35" s="6">
        <v>3.5</v>
      </c>
      <c r="K35" s="6">
        <v>4227.6499999999996</v>
      </c>
      <c r="L35" s="13">
        <f t="shared" si="0"/>
        <v>7599.0999999999985</v>
      </c>
    </row>
    <row r="36" spans="1:12" x14ac:dyDescent="0.35">
      <c r="A36" s="5" t="s">
        <v>43</v>
      </c>
      <c r="B36" s="6">
        <v>3656.27</v>
      </c>
      <c r="C36" s="6">
        <v>43.68</v>
      </c>
      <c r="D36" s="6">
        <v>10018.629999999999</v>
      </c>
      <c r="E36" s="6">
        <v>20.57</v>
      </c>
      <c r="F36" s="6">
        <v>12.08</v>
      </c>
      <c r="G36" s="6">
        <v>4</v>
      </c>
      <c r="H36" s="6">
        <v>684.5</v>
      </c>
      <c r="I36" s="6">
        <v>0.3</v>
      </c>
      <c r="J36" s="6">
        <v>1.8</v>
      </c>
      <c r="K36" s="6">
        <v>16595.849999999999</v>
      </c>
      <c r="L36" s="13">
        <f t="shared" si="0"/>
        <v>31037.679999999993</v>
      </c>
    </row>
    <row r="37" spans="1:12" x14ac:dyDescent="0.35">
      <c r="A37" s="5" t="s">
        <v>44</v>
      </c>
      <c r="B37" s="6">
        <v>3601.33</v>
      </c>
      <c r="C37" s="6">
        <v>32.950000000000003</v>
      </c>
      <c r="D37" s="6">
        <v>9593.94</v>
      </c>
      <c r="E37" s="6">
        <v>0.4</v>
      </c>
      <c r="F37" s="6">
        <v>0.87</v>
      </c>
      <c r="G37" s="6">
        <v>3.7</v>
      </c>
      <c r="H37" s="6">
        <v>1073.5999999999999</v>
      </c>
      <c r="I37" s="6">
        <v>0</v>
      </c>
      <c r="J37" s="6">
        <v>5.5</v>
      </c>
      <c r="K37" s="6">
        <v>31647.86</v>
      </c>
      <c r="L37" s="13">
        <f t="shared" si="0"/>
        <v>45960.15</v>
      </c>
    </row>
    <row r="38" spans="1:12" x14ac:dyDescent="0.35">
      <c r="A38" s="5" t="s">
        <v>45</v>
      </c>
      <c r="B38" s="6">
        <v>1687.77</v>
      </c>
      <c r="C38" s="6">
        <v>99.05</v>
      </c>
      <c r="D38" s="6">
        <v>11597.81</v>
      </c>
      <c r="E38" s="6">
        <v>59.93</v>
      </c>
      <c r="F38" s="6">
        <v>5.66</v>
      </c>
      <c r="G38" s="6">
        <v>24.6</v>
      </c>
      <c r="H38" s="6">
        <v>325.60000000000002</v>
      </c>
      <c r="I38" s="6">
        <v>0.5</v>
      </c>
      <c r="J38" s="6">
        <v>8.6</v>
      </c>
      <c r="K38" s="6">
        <v>30822.04</v>
      </c>
      <c r="L38" s="13">
        <f t="shared" si="0"/>
        <v>44631.56</v>
      </c>
    </row>
    <row r="39" spans="1:12" x14ac:dyDescent="0.35">
      <c r="A39" s="5" t="s">
        <v>46</v>
      </c>
      <c r="B39" s="6">
        <v>2242.65</v>
      </c>
      <c r="C39" s="6">
        <v>22.42</v>
      </c>
      <c r="D39" s="6">
        <v>10447.290000000001</v>
      </c>
      <c r="E39" s="6">
        <v>27.3</v>
      </c>
      <c r="F39" s="6">
        <v>0.3</v>
      </c>
      <c r="G39" s="6">
        <v>2.8</v>
      </c>
      <c r="H39" s="6">
        <v>129.69999999999999</v>
      </c>
      <c r="I39" s="6">
        <v>0</v>
      </c>
      <c r="J39" s="6">
        <v>3.9</v>
      </c>
      <c r="K39" s="6">
        <v>15318.25</v>
      </c>
      <c r="L39" s="13">
        <f t="shared" si="0"/>
        <v>28194.61</v>
      </c>
    </row>
    <row r="40" spans="1:12" x14ac:dyDescent="0.35">
      <c r="A40" s="5" t="s">
        <v>47</v>
      </c>
      <c r="B40" s="6">
        <v>2408.5500000000002</v>
      </c>
      <c r="C40" s="6">
        <v>32.67</v>
      </c>
      <c r="D40" s="6">
        <v>7934.73</v>
      </c>
      <c r="E40" s="6">
        <v>9.3800000000000008</v>
      </c>
      <c r="F40" s="6">
        <v>5.13</v>
      </c>
      <c r="G40" s="6">
        <v>25.8</v>
      </c>
      <c r="H40" s="6">
        <v>963.5</v>
      </c>
      <c r="I40" s="6">
        <v>0</v>
      </c>
      <c r="J40" s="6">
        <v>8.3000000000000007</v>
      </c>
      <c r="K40" s="6">
        <v>16143.27</v>
      </c>
      <c r="L40" s="13">
        <f t="shared" si="0"/>
        <v>27531.329999999998</v>
      </c>
    </row>
    <row r="41" spans="1:12" x14ac:dyDescent="0.35">
      <c r="A41" s="5" t="s">
        <v>48</v>
      </c>
      <c r="B41" s="6">
        <v>120.6</v>
      </c>
      <c r="C41" s="6">
        <v>1.93</v>
      </c>
      <c r="D41" s="6">
        <v>1802.91</v>
      </c>
      <c r="E41" s="6">
        <v>1.05</v>
      </c>
      <c r="F41" s="6">
        <v>0.01</v>
      </c>
      <c r="G41" s="6">
        <v>0.7</v>
      </c>
      <c r="H41" s="6">
        <v>95.4</v>
      </c>
      <c r="I41" s="6">
        <v>0</v>
      </c>
      <c r="J41" s="6">
        <v>0.3</v>
      </c>
      <c r="K41" s="6">
        <v>6204.57</v>
      </c>
      <c r="L41" s="13">
        <f t="shared" si="0"/>
        <v>8227.4699999999993</v>
      </c>
    </row>
    <row r="42" spans="1:12" x14ac:dyDescent="0.35">
      <c r="A42" s="5" t="s">
        <v>49</v>
      </c>
      <c r="B42" s="6">
        <v>1914.28</v>
      </c>
      <c r="C42" s="6">
        <v>32.5</v>
      </c>
      <c r="D42" s="6">
        <v>4018.87</v>
      </c>
      <c r="E42" s="6">
        <v>15.29</v>
      </c>
      <c r="F42" s="6">
        <v>0.15</v>
      </c>
      <c r="G42" s="6">
        <v>74.5</v>
      </c>
      <c r="H42" s="6">
        <v>55.4</v>
      </c>
      <c r="I42" s="6">
        <v>0.4</v>
      </c>
      <c r="J42" s="6">
        <v>3.2</v>
      </c>
      <c r="K42" s="6">
        <v>6404.02</v>
      </c>
      <c r="L42" s="13">
        <f t="shared" si="0"/>
        <v>12518.609999999999</v>
      </c>
    </row>
    <row r="43" spans="1:12" x14ac:dyDescent="0.35">
      <c r="A43" s="5" t="s">
        <v>50</v>
      </c>
      <c r="B43" s="6">
        <v>2843.32</v>
      </c>
      <c r="C43" s="6">
        <v>21.74</v>
      </c>
      <c r="D43" s="6">
        <v>9595.66</v>
      </c>
      <c r="E43" s="6">
        <v>15.47</v>
      </c>
      <c r="F43" s="6">
        <v>0.59</v>
      </c>
      <c r="G43" s="6">
        <v>28.7</v>
      </c>
      <c r="H43" s="6">
        <v>305.10000000000002</v>
      </c>
      <c r="I43" s="6">
        <v>0</v>
      </c>
      <c r="J43" s="6">
        <v>7</v>
      </c>
      <c r="K43" s="6">
        <v>27764.57</v>
      </c>
      <c r="L43" s="13">
        <f t="shared" si="0"/>
        <v>40582.15</v>
      </c>
    </row>
    <row r="44" spans="1:12" x14ac:dyDescent="0.35">
      <c r="A44" s="5" t="s">
        <v>51</v>
      </c>
      <c r="B44" s="6">
        <v>2828.08</v>
      </c>
      <c r="C44" s="6">
        <v>33.03</v>
      </c>
      <c r="D44" s="6">
        <v>7685.92</v>
      </c>
      <c r="E44" s="6">
        <v>11.28</v>
      </c>
      <c r="F44" s="6">
        <v>1.85</v>
      </c>
      <c r="G44" s="6">
        <v>5.2</v>
      </c>
      <c r="H44" s="6">
        <v>411</v>
      </c>
      <c r="I44" s="6">
        <v>0</v>
      </c>
      <c r="J44" s="6">
        <v>3.7</v>
      </c>
      <c r="K44" s="6">
        <v>14846.85</v>
      </c>
      <c r="L44" s="13">
        <f t="shared" si="0"/>
        <v>25826.910000000003</v>
      </c>
    </row>
    <row r="45" spans="1:12" x14ac:dyDescent="0.35">
      <c r="A45" s="5" t="s">
        <v>52</v>
      </c>
      <c r="B45" s="6">
        <v>1321.46</v>
      </c>
      <c r="C45" s="6">
        <v>62.05</v>
      </c>
      <c r="D45" s="6">
        <v>3670.77</v>
      </c>
      <c r="E45" s="6">
        <v>4.2300000000000004</v>
      </c>
      <c r="F45" s="6">
        <v>0.11</v>
      </c>
      <c r="G45" s="6">
        <v>0.9</v>
      </c>
      <c r="H45" s="6">
        <v>55.8</v>
      </c>
      <c r="I45" s="6">
        <v>0</v>
      </c>
      <c r="J45" s="6">
        <v>8.5</v>
      </c>
      <c r="K45" s="6">
        <v>11604.07</v>
      </c>
      <c r="L45" s="13">
        <f t="shared" si="0"/>
        <v>16727.89</v>
      </c>
    </row>
    <row r="46" spans="1:12" x14ac:dyDescent="0.35">
      <c r="A46" s="5" t="s">
        <v>53</v>
      </c>
      <c r="B46" s="6">
        <v>2371.4299999999998</v>
      </c>
      <c r="C46" s="6">
        <v>32.53</v>
      </c>
      <c r="D46" s="6">
        <v>5937.44</v>
      </c>
      <c r="E46" s="6">
        <v>8.41</v>
      </c>
      <c r="F46" s="6">
        <v>13.54</v>
      </c>
      <c r="G46" s="6">
        <v>1</v>
      </c>
      <c r="H46" s="6">
        <v>258</v>
      </c>
      <c r="I46" s="6">
        <v>0</v>
      </c>
      <c r="J46" s="6">
        <v>1.5</v>
      </c>
      <c r="K46" s="6">
        <v>20964</v>
      </c>
      <c r="L46" s="13">
        <f t="shared" si="0"/>
        <v>29587.85</v>
      </c>
    </row>
    <row r="47" spans="1:12" x14ac:dyDescent="0.35">
      <c r="A47" s="5" t="s">
        <v>54</v>
      </c>
      <c r="B47" s="6">
        <v>1530.38</v>
      </c>
      <c r="C47" s="6">
        <v>16.149999999999999</v>
      </c>
      <c r="D47" s="6">
        <v>4713.41</v>
      </c>
      <c r="E47" s="6">
        <v>8.9</v>
      </c>
      <c r="F47" s="6">
        <v>0.15</v>
      </c>
      <c r="G47" s="6">
        <v>1</v>
      </c>
      <c r="H47" s="6">
        <v>89.5</v>
      </c>
      <c r="I47" s="6">
        <v>0</v>
      </c>
      <c r="J47" s="6">
        <v>3.8</v>
      </c>
      <c r="K47" s="6">
        <v>2815.53</v>
      </c>
      <c r="L47" s="13">
        <f t="shared" si="0"/>
        <v>9178.82</v>
      </c>
    </row>
    <row r="48" spans="1:12" x14ac:dyDescent="0.35">
      <c r="A48" s="5" t="s">
        <v>55</v>
      </c>
      <c r="B48" s="6">
        <v>2333.39</v>
      </c>
      <c r="C48" s="6">
        <v>20.91</v>
      </c>
      <c r="D48" s="6">
        <v>6337.37</v>
      </c>
      <c r="E48" s="6">
        <v>3.82</v>
      </c>
      <c r="F48" s="6">
        <v>0.03</v>
      </c>
      <c r="G48" s="6">
        <v>3.5</v>
      </c>
      <c r="H48" s="6">
        <v>176.9</v>
      </c>
      <c r="I48" s="6">
        <v>0</v>
      </c>
      <c r="J48" s="6">
        <v>4.4000000000000004</v>
      </c>
      <c r="K48" s="6">
        <v>21913.56</v>
      </c>
      <c r="L48" s="13">
        <f t="shared" si="0"/>
        <v>30793.88</v>
      </c>
    </row>
    <row r="49" spans="1:12" x14ac:dyDescent="0.35">
      <c r="A49" s="5" t="s">
        <v>56</v>
      </c>
      <c r="B49" s="6">
        <v>8048.9</v>
      </c>
      <c r="C49" s="6">
        <v>83.96</v>
      </c>
      <c r="D49" s="6">
        <v>12981.31</v>
      </c>
      <c r="E49" s="6">
        <v>11.71</v>
      </c>
      <c r="F49" s="6">
        <v>1.98</v>
      </c>
      <c r="G49" s="6">
        <v>6.4</v>
      </c>
      <c r="H49" s="6">
        <v>277</v>
      </c>
      <c r="I49" s="6">
        <v>0.2</v>
      </c>
      <c r="J49" s="6">
        <v>12</v>
      </c>
      <c r="K49" s="6">
        <v>50902.97</v>
      </c>
      <c r="L49" s="13">
        <f t="shared" si="0"/>
        <v>72326.429999999993</v>
      </c>
    </row>
    <row r="50" spans="1:12" x14ac:dyDescent="0.35">
      <c r="A50" s="5" t="s">
        <v>57</v>
      </c>
      <c r="B50" s="6">
        <v>1835.55</v>
      </c>
      <c r="C50" s="6">
        <v>34.81</v>
      </c>
      <c r="D50" s="6">
        <v>4820.7299999999996</v>
      </c>
      <c r="E50" s="6">
        <v>20.29</v>
      </c>
      <c r="F50" s="6">
        <v>0.13</v>
      </c>
      <c r="G50" s="6">
        <v>2.8</v>
      </c>
      <c r="H50" s="6">
        <v>163.9</v>
      </c>
      <c r="I50" s="6">
        <v>0.2</v>
      </c>
      <c r="J50" s="6">
        <v>2.7</v>
      </c>
      <c r="K50" s="6">
        <v>9035.9500000000007</v>
      </c>
      <c r="L50" s="13">
        <f t="shared" si="0"/>
        <v>15917.06</v>
      </c>
    </row>
    <row r="51" spans="1:12" x14ac:dyDescent="0.35">
      <c r="A51" s="5" t="s">
        <v>58</v>
      </c>
      <c r="B51" s="6">
        <v>450.8</v>
      </c>
      <c r="C51" s="6">
        <v>3.76</v>
      </c>
      <c r="D51" s="6">
        <v>2095.44</v>
      </c>
      <c r="E51" s="6">
        <v>0.21</v>
      </c>
      <c r="F51" s="6">
        <v>0.03</v>
      </c>
      <c r="G51" s="6">
        <v>2.4</v>
      </c>
      <c r="H51" s="6">
        <v>45.4</v>
      </c>
      <c r="I51" s="6">
        <v>0</v>
      </c>
      <c r="J51" s="6">
        <v>0.2</v>
      </c>
      <c r="K51" s="6">
        <v>1924.29</v>
      </c>
      <c r="L51" s="13">
        <f t="shared" si="0"/>
        <v>4522.5300000000007</v>
      </c>
    </row>
    <row r="52" spans="1:12" x14ac:dyDescent="0.35">
      <c r="A52" s="5" t="s">
        <v>59</v>
      </c>
      <c r="B52" s="6">
        <v>3732.44</v>
      </c>
      <c r="C52" s="6">
        <v>44.33</v>
      </c>
      <c r="D52" s="6">
        <v>6754.19</v>
      </c>
      <c r="E52" s="6">
        <v>4.16</v>
      </c>
      <c r="F52" s="6">
        <v>0.16</v>
      </c>
      <c r="G52" s="6">
        <v>3.6</v>
      </c>
      <c r="H52" s="6">
        <v>59.7</v>
      </c>
      <c r="I52" s="6">
        <v>0</v>
      </c>
      <c r="J52" s="6">
        <v>3.5</v>
      </c>
      <c r="K52" s="6">
        <v>17682.900000000001</v>
      </c>
      <c r="L52" s="13">
        <f t="shared" si="0"/>
        <v>28284.980000000003</v>
      </c>
    </row>
    <row r="53" spans="1:12" x14ac:dyDescent="0.35">
      <c r="A53" s="5" t="s">
        <v>60</v>
      </c>
      <c r="B53" s="6">
        <v>799.2</v>
      </c>
      <c r="C53" s="6">
        <v>4.7</v>
      </c>
      <c r="D53" s="6">
        <v>3373.77</v>
      </c>
      <c r="E53" s="6">
        <v>3.26</v>
      </c>
      <c r="F53" s="6">
        <v>0.2</v>
      </c>
      <c r="G53" s="6">
        <v>4.8</v>
      </c>
      <c r="H53" s="6">
        <v>164.9</v>
      </c>
      <c r="I53" s="6">
        <v>0</v>
      </c>
      <c r="J53" s="6">
        <v>1</v>
      </c>
      <c r="K53" s="6">
        <v>11526.22</v>
      </c>
      <c r="L53" s="13">
        <f t="shared" si="0"/>
        <v>15878.05</v>
      </c>
    </row>
    <row r="54" spans="1:12" x14ac:dyDescent="0.35">
      <c r="A54" s="5" t="s">
        <v>61</v>
      </c>
      <c r="B54" s="6">
        <v>3251.06</v>
      </c>
      <c r="C54" s="6">
        <v>29.7</v>
      </c>
      <c r="D54" s="6">
        <v>8151.87</v>
      </c>
      <c r="E54" s="6">
        <v>29.16</v>
      </c>
      <c r="F54" s="6">
        <v>0.26</v>
      </c>
      <c r="G54" s="6">
        <v>22.5</v>
      </c>
      <c r="H54" s="6">
        <v>312.89999999999998</v>
      </c>
      <c r="I54" s="6">
        <v>0.2</v>
      </c>
      <c r="J54" s="6">
        <v>5.4</v>
      </c>
      <c r="K54" s="6">
        <v>13406.07</v>
      </c>
      <c r="L54" s="13">
        <f t="shared" si="0"/>
        <v>25209.119999999999</v>
      </c>
    </row>
    <row r="55" spans="1:12" x14ac:dyDescent="0.35">
      <c r="A55" s="5" t="s">
        <v>62</v>
      </c>
      <c r="B55" s="6">
        <v>6901.15</v>
      </c>
      <c r="C55" s="6">
        <v>65.83</v>
      </c>
      <c r="D55" s="6">
        <v>20382.509999999998</v>
      </c>
      <c r="E55" s="6">
        <v>35.380000000000003</v>
      </c>
      <c r="F55" s="6">
        <v>2.37</v>
      </c>
      <c r="G55" s="6">
        <v>31.9</v>
      </c>
      <c r="H55" s="6">
        <v>375.8</v>
      </c>
      <c r="I55" s="6">
        <v>0.1</v>
      </c>
      <c r="J55" s="6">
        <v>16.899999999999999</v>
      </c>
      <c r="K55" s="6">
        <v>97237.11</v>
      </c>
      <c r="L55" s="13">
        <f t="shared" si="0"/>
        <v>125049.05</v>
      </c>
    </row>
    <row r="56" spans="1:12" x14ac:dyDescent="0.35">
      <c r="A56" s="5" t="s">
        <v>63</v>
      </c>
      <c r="B56" s="6">
        <v>2044.6</v>
      </c>
      <c r="C56" s="6">
        <v>44.44</v>
      </c>
      <c r="D56" s="6">
        <v>10840.62</v>
      </c>
      <c r="E56" s="6">
        <v>10.72</v>
      </c>
      <c r="F56" s="6">
        <v>0.87</v>
      </c>
      <c r="G56" s="6">
        <v>22.8</v>
      </c>
      <c r="H56" s="6">
        <v>235.4</v>
      </c>
      <c r="I56" s="6">
        <v>0.1</v>
      </c>
      <c r="J56" s="6">
        <v>1.1000000000000001</v>
      </c>
      <c r="K56" s="6">
        <v>17532.12</v>
      </c>
      <c r="L56" s="13">
        <f t="shared" si="0"/>
        <v>30732.769999999997</v>
      </c>
    </row>
    <row r="57" spans="1:12" x14ac:dyDescent="0.35">
      <c r="A57" s="5" t="s">
        <v>64</v>
      </c>
      <c r="B57" s="6">
        <v>0</v>
      </c>
      <c r="C57" s="6">
        <v>7.73</v>
      </c>
      <c r="D57" s="6">
        <v>5501.94</v>
      </c>
      <c r="E57" s="6">
        <v>3.62</v>
      </c>
      <c r="F57" s="6">
        <v>0</v>
      </c>
      <c r="G57" s="6">
        <v>2.9</v>
      </c>
      <c r="H57" s="6">
        <v>77.400000000000006</v>
      </c>
      <c r="I57" s="6">
        <v>0</v>
      </c>
      <c r="J57" s="6">
        <v>2.1</v>
      </c>
      <c r="K57" s="6">
        <v>3789.33</v>
      </c>
      <c r="L57" s="13">
        <f t="shared" si="0"/>
        <v>9385.0199999999986</v>
      </c>
    </row>
    <row r="58" spans="1:12" x14ac:dyDescent="0.35">
      <c r="A58" s="5" t="s">
        <v>65</v>
      </c>
      <c r="B58" s="6">
        <v>5716.38</v>
      </c>
      <c r="C58" s="6">
        <v>27.18</v>
      </c>
      <c r="D58" s="6">
        <v>9133.67</v>
      </c>
      <c r="E58" s="6">
        <v>50.65</v>
      </c>
      <c r="F58" s="6">
        <v>1.03</v>
      </c>
      <c r="G58" s="6">
        <v>15.7</v>
      </c>
      <c r="H58" s="6">
        <v>245.7</v>
      </c>
      <c r="I58" s="6">
        <v>0.8</v>
      </c>
      <c r="J58" s="6">
        <v>15</v>
      </c>
      <c r="K58" s="6">
        <v>21113.37</v>
      </c>
      <c r="L58" s="13">
        <f t="shared" si="0"/>
        <v>36319.479999999996</v>
      </c>
    </row>
    <row r="59" spans="1:12" x14ac:dyDescent="0.35">
      <c r="A59" s="5" t="s">
        <v>66</v>
      </c>
      <c r="B59" s="6">
        <v>1099.33</v>
      </c>
      <c r="C59" s="6">
        <v>41.42</v>
      </c>
      <c r="D59" s="6">
        <v>5069.9799999999996</v>
      </c>
      <c r="E59" s="6">
        <v>8.01</v>
      </c>
      <c r="F59" s="6">
        <v>0.55000000000000004</v>
      </c>
      <c r="G59" s="6">
        <v>1.6</v>
      </c>
      <c r="H59" s="6">
        <v>104.8</v>
      </c>
      <c r="I59" s="6">
        <v>0.1</v>
      </c>
      <c r="J59" s="6">
        <v>4.0999999999999996</v>
      </c>
      <c r="K59" s="6">
        <v>11311.67</v>
      </c>
      <c r="L59" s="13">
        <f t="shared" si="0"/>
        <v>17641.560000000001</v>
      </c>
    </row>
    <row r="60" spans="1:12" x14ac:dyDescent="0.35">
      <c r="A60" s="5" t="s">
        <v>67</v>
      </c>
      <c r="B60" s="6">
        <v>1198.94</v>
      </c>
      <c r="C60" s="6">
        <v>10.050000000000001</v>
      </c>
      <c r="D60" s="6">
        <v>2928.3</v>
      </c>
      <c r="E60" s="6">
        <v>14.47</v>
      </c>
      <c r="F60" s="6">
        <v>0.44</v>
      </c>
      <c r="G60" s="6">
        <v>1.5</v>
      </c>
      <c r="H60" s="6">
        <v>77.5</v>
      </c>
      <c r="I60" s="6">
        <v>0.3</v>
      </c>
      <c r="J60" s="6">
        <v>1.6</v>
      </c>
      <c r="K60" s="6">
        <v>6028.31</v>
      </c>
      <c r="L60" s="13">
        <f t="shared" si="0"/>
        <v>10261.41</v>
      </c>
    </row>
    <row r="61" spans="1:12" x14ac:dyDescent="0.35">
      <c r="A61" s="5" t="s">
        <v>68</v>
      </c>
      <c r="B61" s="6">
        <v>5369.33</v>
      </c>
      <c r="C61" s="6">
        <v>31.06</v>
      </c>
      <c r="D61" s="6">
        <v>8701.9599999999991</v>
      </c>
      <c r="E61" s="6">
        <v>7.66</v>
      </c>
      <c r="F61" s="6">
        <v>0.67</v>
      </c>
      <c r="G61" s="6">
        <v>5.3</v>
      </c>
      <c r="H61" s="6">
        <v>130.30000000000001</v>
      </c>
      <c r="I61" s="6">
        <v>0.1</v>
      </c>
      <c r="J61" s="6">
        <v>11.8</v>
      </c>
      <c r="K61" s="6">
        <v>16865.41</v>
      </c>
      <c r="L61" s="13">
        <f t="shared" si="0"/>
        <v>31123.589999999997</v>
      </c>
    </row>
    <row r="62" spans="1:12" x14ac:dyDescent="0.35">
      <c r="A62" s="4" t="s">
        <v>69</v>
      </c>
      <c r="B62" s="7">
        <f t="shared" ref="B62:J62" si="1">SUM(B2:B61)</f>
        <v>128803.14000000003</v>
      </c>
      <c r="C62" s="7">
        <f t="shared" si="1"/>
        <v>1510.58</v>
      </c>
      <c r="D62" s="7">
        <f t="shared" si="1"/>
        <v>377364.61</v>
      </c>
      <c r="E62" s="7">
        <f t="shared" si="1"/>
        <v>1089.23</v>
      </c>
      <c r="F62" s="7">
        <f t="shared" si="1"/>
        <v>79.770000000000024</v>
      </c>
      <c r="G62" s="7">
        <f t="shared" si="1"/>
        <v>390.69999999999993</v>
      </c>
      <c r="H62" s="7">
        <f t="shared" si="1"/>
        <v>11738.399999999994</v>
      </c>
      <c r="I62" s="7">
        <f t="shared" si="1"/>
        <v>7.1999999999999993</v>
      </c>
      <c r="J62" s="7">
        <f t="shared" si="1"/>
        <v>241.79999999999998</v>
      </c>
      <c r="K62" s="7">
        <f>SUM(K2:K61)</f>
        <v>905779.16999999993</v>
      </c>
      <c r="L62" s="16">
        <f>SUM($L$2:L61)</f>
        <v>1427004.6</v>
      </c>
    </row>
    <row r="63" spans="1:12" x14ac:dyDescent="0.35">
      <c r="B63" s="2"/>
      <c r="L63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446E-47A2-4CAF-974E-9582B554045B}">
  <dimension ref="A1:L63"/>
  <sheetViews>
    <sheetView workbookViewId="0">
      <selection activeCell="A52" sqref="A52"/>
    </sheetView>
  </sheetViews>
  <sheetFormatPr defaultRowHeight="14.5" x14ac:dyDescent="0.35"/>
  <cols>
    <col min="1" max="1" width="18.08984375" bestFit="1" customWidth="1"/>
    <col min="2" max="2" width="21.7265625" bestFit="1" customWidth="1"/>
    <col min="3" max="3" width="17.36328125" bestFit="1" customWidth="1"/>
    <col min="4" max="4" width="20.1796875" bestFit="1" customWidth="1"/>
    <col min="5" max="7" width="8.81640625" bestFit="1" customWidth="1"/>
    <col min="8" max="8" width="19.81640625" bestFit="1" customWidth="1"/>
    <col min="9" max="10" width="8.81640625" bestFit="1" customWidth="1"/>
    <col min="11" max="11" width="19.54296875" bestFit="1" customWidth="1"/>
    <col min="12" max="12" width="13.1796875" bestFit="1" customWidth="1"/>
    <col min="13" max="13" width="10.54296875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t="s">
        <v>11</v>
      </c>
      <c r="B2" s="6">
        <v>3001.63</v>
      </c>
      <c r="C2" s="6">
        <v>21.32</v>
      </c>
      <c r="D2" s="6">
        <v>6706.64</v>
      </c>
      <c r="E2" s="6">
        <v>36.74</v>
      </c>
      <c r="F2" s="6">
        <v>0.9</v>
      </c>
      <c r="G2" s="6">
        <v>1</v>
      </c>
      <c r="H2" s="6">
        <v>117.1</v>
      </c>
      <c r="I2" s="6">
        <v>0</v>
      </c>
      <c r="J2" s="6">
        <v>1.9</v>
      </c>
      <c r="K2" s="6">
        <v>14291.58</v>
      </c>
      <c r="L2" s="15">
        <f>SUM(B2:K2)</f>
        <v>24178.809999999998</v>
      </c>
    </row>
    <row r="3" spans="1:12" x14ac:dyDescent="0.35">
      <c r="A3" t="s">
        <v>12</v>
      </c>
      <c r="B3" s="6">
        <v>533.11</v>
      </c>
      <c r="C3" s="6">
        <v>5.68</v>
      </c>
      <c r="D3" s="6">
        <v>2388.48</v>
      </c>
      <c r="E3" s="6">
        <v>0.15</v>
      </c>
      <c r="F3" s="6">
        <v>0.22</v>
      </c>
      <c r="G3" s="6">
        <v>0.3</v>
      </c>
      <c r="H3" s="6">
        <v>32.799999999999997</v>
      </c>
      <c r="I3" s="6">
        <v>0.1</v>
      </c>
      <c r="J3" s="6">
        <v>0.1</v>
      </c>
      <c r="K3" s="6">
        <v>7070.27</v>
      </c>
      <c r="L3" s="15">
        <f t="shared" ref="L3:L61" si="0">SUM(B3:K3)</f>
        <v>10031.210000000001</v>
      </c>
    </row>
    <row r="4" spans="1:12" x14ac:dyDescent="0.35">
      <c r="A4" t="s">
        <v>13</v>
      </c>
      <c r="B4" s="6">
        <v>629.26</v>
      </c>
      <c r="C4" s="6">
        <v>5.4</v>
      </c>
      <c r="D4" s="6">
        <v>3293.68</v>
      </c>
      <c r="E4" s="6">
        <v>3.35</v>
      </c>
      <c r="F4" s="6">
        <v>0.08</v>
      </c>
      <c r="G4" s="6">
        <v>0.7</v>
      </c>
      <c r="H4" s="6">
        <v>49.7</v>
      </c>
      <c r="I4" s="6">
        <v>0</v>
      </c>
      <c r="J4" s="6">
        <v>3.2</v>
      </c>
      <c r="K4" s="6">
        <v>9294.07</v>
      </c>
      <c r="L4" s="15">
        <f t="shared" si="0"/>
        <v>13279.439999999999</v>
      </c>
    </row>
    <row r="5" spans="1:12" x14ac:dyDescent="0.35">
      <c r="A5" t="s">
        <v>14</v>
      </c>
      <c r="B5" s="6">
        <v>1511.07</v>
      </c>
      <c r="C5" s="6">
        <v>16.12</v>
      </c>
      <c r="D5" s="6">
        <v>3890.09</v>
      </c>
      <c r="E5" s="6">
        <v>0</v>
      </c>
      <c r="F5" s="6">
        <v>0.56000000000000005</v>
      </c>
      <c r="G5" s="6">
        <v>0.8</v>
      </c>
      <c r="H5" s="6">
        <v>133.69999999999999</v>
      </c>
      <c r="I5" s="6">
        <v>0</v>
      </c>
      <c r="J5" s="6">
        <v>4</v>
      </c>
      <c r="K5" s="6">
        <v>8748.0499999999993</v>
      </c>
      <c r="L5" s="15">
        <f t="shared" si="0"/>
        <v>14304.39</v>
      </c>
    </row>
    <row r="6" spans="1:12" x14ac:dyDescent="0.35">
      <c r="A6" t="s">
        <v>15</v>
      </c>
      <c r="B6" s="6">
        <v>2493.6</v>
      </c>
      <c r="C6" s="6">
        <v>23.68</v>
      </c>
      <c r="D6" s="6">
        <v>7489.37</v>
      </c>
      <c r="E6" s="6">
        <v>35.200000000000003</v>
      </c>
      <c r="F6" s="6">
        <v>0.48</v>
      </c>
      <c r="G6" s="6">
        <v>3.5</v>
      </c>
      <c r="H6" s="6">
        <v>121.9</v>
      </c>
      <c r="I6" s="6">
        <v>1</v>
      </c>
      <c r="J6" s="6">
        <v>3.1</v>
      </c>
      <c r="K6" s="6">
        <v>21394.74</v>
      </c>
      <c r="L6" s="15">
        <f t="shared" si="0"/>
        <v>31566.57</v>
      </c>
    </row>
    <row r="7" spans="1:12" x14ac:dyDescent="0.35">
      <c r="A7" t="s">
        <v>16</v>
      </c>
      <c r="B7" s="6">
        <v>893.46</v>
      </c>
      <c r="C7" s="6">
        <v>11.97</v>
      </c>
      <c r="D7" s="6">
        <v>4894.54</v>
      </c>
      <c r="E7" s="6">
        <v>30.1</v>
      </c>
      <c r="F7" s="6">
        <v>0.62</v>
      </c>
      <c r="G7" s="6">
        <v>2.4</v>
      </c>
      <c r="H7" s="6">
        <v>157.69999999999999</v>
      </c>
      <c r="I7" s="6">
        <v>0.3</v>
      </c>
      <c r="J7" s="6">
        <v>9.4</v>
      </c>
      <c r="K7" s="6">
        <v>14046.68</v>
      </c>
      <c r="L7" s="15">
        <f t="shared" si="0"/>
        <v>20047.169999999998</v>
      </c>
    </row>
    <row r="8" spans="1:12" x14ac:dyDescent="0.35">
      <c r="A8" t="s">
        <v>17</v>
      </c>
      <c r="B8" s="6">
        <v>1505.55</v>
      </c>
      <c r="C8" s="6">
        <v>21.65</v>
      </c>
      <c r="D8" s="6">
        <v>8475.0400000000009</v>
      </c>
      <c r="E8" s="6">
        <v>7.11</v>
      </c>
      <c r="F8" s="6">
        <v>0.25</v>
      </c>
      <c r="G8" s="6">
        <v>4.8</v>
      </c>
      <c r="H8" s="6">
        <v>205.3</v>
      </c>
      <c r="I8" s="6">
        <v>0.1</v>
      </c>
      <c r="J8" s="6">
        <v>1.5</v>
      </c>
      <c r="K8" s="6">
        <v>11763.34</v>
      </c>
      <c r="L8" s="15">
        <f t="shared" si="0"/>
        <v>21984.639999999999</v>
      </c>
    </row>
    <row r="9" spans="1:12" x14ac:dyDescent="0.35">
      <c r="A9" t="s">
        <v>18</v>
      </c>
      <c r="B9" s="6">
        <v>3672.43</v>
      </c>
      <c r="C9" s="6">
        <v>21.17</v>
      </c>
      <c r="D9" s="6">
        <v>6690.36</v>
      </c>
      <c r="E9" s="6">
        <v>12.9</v>
      </c>
      <c r="F9" s="6">
        <v>0.83</v>
      </c>
      <c r="G9" s="6">
        <v>26.7</v>
      </c>
      <c r="H9" s="6">
        <v>212.7</v>
      </c>
      <c r="I9" s="6">
        <v>0.8</v>
      </c>
      <c r="J9" s="6">
        <v>1.6</v>
      </c>
      <c r="K9" s="6">
        <v>15578.34</v>
      </c>
      <c r="L9" s="15">
        <f t="shared" si="0"/>
        <v>26217.83</v>
      </c>
    </row>
    <row r="10" spans="1:12" x14ac:dyDescent="0.35">
      <c r="A10" t="s">
        <v>91</v>
      </c>
      <c r="B10" s="6">
        <v>317.2</v>
      </c>
      <c r="C10" s="6">
        <v>22.15</v>
      </c>
      <c r="D10" s="6">
        <v>3089.05</v>
      </c>
      <c r="E10" s="6">
        <v>1.78</v>
      </c>
      <c r="F10" s="6">
        <v>0.17</v>
      </c>
      <c r="G10" s="6">
        <v>0.4</v>
      </c>
      <c r="H10" s="6">
        <v>29.2</v>
      </c>
      <c r="I10" s="6">
        <v>0</v>
      </c>
      <c r="J10" s="6">
        <v>0.3</v>
      </c>
      <c r="K10" s="6">
        <v>4777.08</v>
      </c>
      <c r="L10" s="15">
        <f t="shared" si="0"/>
        <v>8237.33</v>
      </c>
    </row>
    <row r="11" spans="1:12" x14ac:dyDescent="0.35">
      <c r="A11" t="s">
        <v>20</v>
      </c>
      <c r="B11" s="6">
        <v>826.85</v>
      </c>
      <c r="C11" s="6">
        <v>15.78</v>
      </c>
      <c r="D11" s="6">
        <v>4517.45</v>
      </c>
      <c r="E11" s="6">
        <v>43.71</v>
      </c>
      <c r="F11" s="6">
        <v>2.68</v>
      </c>
      <c r="G11" s="6">
        <v>0.6</v>
      </c>
      <c r="H11" s="6">
        <v>131.6</v>
      </c>
      <c r="I11" s="6">
        <v>0</v>
      </c>
      <c r="J11" s="6">
        <v>3.5</v>
      </c>
      <c r="K11" s="6">
        <v>9572.5499999999993</v>
      </c>
      <c r="L11" s="15">
        <f t="shared" si="0"/>
        <v>15114.720000000001</v>
      </c>
    </row>
    <row r="12" spans="1:12" x14ac:dyDescent="0.35">
      <c r="A12" t="s">
        <v>21</v>
      </c>
      <c r="B12" s="6">
        <v>3129.16</v>
      </c>
      <c r="C12" s="6">
        <v>15.69</v>
      </c>
      <c r="D12" s="6">
        <v>7257.76</v>
      </c>
      <c r="E12" s="6">
        <v>19.88</v>
      </c>
      <c r="F12" s="6">
        <v>4.75</v>
      </c>
      <c r="G12" s="6">
        <v>10.4</v>
      </c>
      <c r="H12" s="6">
        <v>278.2</v>
      </c>
      <c r="I12" s="6">
        <v>0.3</v>
      </c>
      <c r="J12" s="6">
        <v>3.7</v>
      </c>
      <c r="K12" s="6">
        <v>20189.48</v>
      </c>
      <c r="L12" s="15">
        <f t="shared" si="0"/>
        <v>30909.32</v>
      </c>
    </row>
    <row r="13" spans="1:12" x14ac:dyDescent="0.35">
      <c r="A13" t="s">
        <v>22</v>
      </c>
      <c r="B13" s="6">
        <v>4387.08</v>
      </c>
      <c r="C13" s="6">
        <v>10.49</v>
      </c>
      <c r="D13" s="6">
        <v>7394.15</v>
      </c>
      <c r="E13" s="6">
        <v>11.15</v>
      </c>
      <c r="F13" s="6">
        <v>2.48</v>
      </c>
      <c r="G13" s="6">
        <v>5.2</v>
      </c>
      <c r="H13" s="6">
        <v>117.1</v>
      </c>
      <c r="I13" s="6">
        <v>0.4</v>
      </c>
      <c r="J13" s="6">
        <v>2.2999999999999998</v>
      </c>
      <c r="K13" s="6">
        <v>32635</v>
      </c>
      <c r="L13" s="15">
        <f t="shared" si="0"/>
        <v>44565.35</v>
      </c>
    </row>
    <row r="14" spans="1:12" x14ac:dyDescent="0.35">
      <c r="A14" t="s">
        <v>23</v>
      </c>
      <c r="B14" s="6">
        <v>892.87</v>
      </c>
      <c r="C14" s="6">
        <v>18.8</v>
      </c>
      <c r="D14" s="6">
        <v>4105.33</v>
      </c>
      <c r="E14" s="6">
        <v>5.15</v>
      </c>
      <c r="F14" s="6">
        <v>0.35</v>
      </c>
      <c r="G14" s="6">
        <v>1.9</v>
      </c>
      <c r="H14" s="6">
        <v>503.5</v>
      </c>
      <c r="I14" s="6">
        <v>0.2</v>
      </c>
      <c r="J14" s="6">
        <v>0.9</v>
      </c>
      <c r="K14" s="6">
        <v>7560.17</v>
      </c>
      <c r="L14" s="15">
        <f t="shared" si="0"/>
        <v>13089.169999999998</v>
      </c>
    </row>
    <row r="15" spans="1:12" x14ac:dyDescent="0.35">
      <c r="A15" t="s">
        <v>24</v>
      </c>
      <c r="B15" s="6">
        <v>2540.69</v>
      </c>
      <c r="C15" s="6">
        <v>15.26</v>
      </c>
      <c r="D15" s="6">
        <v>5274.01</v>
      </c>
      <c r="E15" s="6">
        <v>8.09</v>
      </c>
      <c r="F15" s="6">
        <v>0.4</v>
      </c>
      <c r="G15" s="6">
        <v>2</v>
      </c>
      <c r="H15" s="6">
        <v>72.3</v>
      </c>
      <c r="I15" s="6">
        <v>0.1</v>
      </c>
      <c r="J15" s="6">
        <v>2.4</v>
      </c>
      <c r="K15" s="6">
        <v>15368.44</v>
      </c>
      <c r="L15" s="15">
        <f t="shared" si="0"/>
        <v>23283.690000000002</v>
      </c>
    </row>
    <row r="16" spans="1:12" x14ac:dyDescent="0.35">
      <c r="A16" t="s">
        <v>25</v>
      </c>
      <c r="B16" s="6">
        <v>319.07</v>
      </c>
      <c r="C16" s="6">
        <v>19.37</v>
      </c>
      <c r="D16" s="6">
        <v>2098.38</v>
      </c>
      <c r="E16" s="6">
        <v>0.93</v>
      </c>
      <c r="F16" s="6">
        <v>0.19</v>
      </c>
      <c r="G16" s="6">
        <v>0.2</v>
      </c>
      <c r="H16" s="6">
        <v>80.8</v>
      </c>
      <c r="I16" s="6">
        <v>0</v>
      </c>
      <c r="J16" s="6">
        <v>1</v>
      </c>
      <c r="K16" s="6">
        <v>4735.28</v>
      </c>
      <c r="L16" s="15">
        <f t="shared" si="0"/>
        <v>7255.2199999999993</v>
      </c>
    </row>
    <row r="17" spans="1:12" x14ac:dyDescent="0.35">
      <c r="A17" t="s">
        <v>92</v>
      </c>
      <c r="B17" s="6">
        <v>875.2</v>
      </c>
      <c r="C17" s="6">
        <v>4.28</v>
      </c>
      <c r="D17" s="6">
        <v>3374.61</v>
      </c>
      <c r="E17" s="6">
        <v>13.56</v>
      </c>
      <c r="F17" s="6">
        <v>0.31</v>
      </c>
      <c r="G17" s="6">
        <v>0.4</v>
      </c>
      <c r="H17" s="6">
        <v>71.900000000000006</v>
      </c>
      <c r="I17" s="6">
        <v>0</v>
      </c>
      <c r="J17" s="6">
        <v>0.3</v>
      </c>
      <c r="K17" s="6">
        <v>16030.32</v>
      </c>
      <c r="L17" s="15">
        <f t="shared" si="0"/>
        <v>20370.88</v>
      </c>
    </row>
    <row r="18" spans="1:12" x14ac:dyDescent="0.35">
      <c r="A18" t="s">
        <v>93</v>
      </c>
      <c r="B18" s="6">
        <v>0</v>
      </c>
      <c r="C18" s="6">
        <v>0.78</v>
      </c>
      <c r="D18" s="6">
        <v>391.91</v>
      </c>
      <c r="E18" s="6">
        <v>0.24</v>
      </c>
      <c r="F18" s="6">
        <v>0</v>
      </c>
      <c r="G18" s="6">
        <v>0.1</v>
      </c>
      <c r="H18" s="6">
        <v>6.3</v>
      </c>
      <c r="I18" s="6">
        <v>0</v>
      </c>
      <c r="J18" s="6">
        <v>0</v>
      </c>
      <c r="K18" s="6">
        <v>1045.3699999999999</v>
      </c>
      <c r="L18" s="15">
        <f t="shared" si="0"/>
        <v>1444.6999999999998</v>
      </c>
    </row>
    <row r="19" spans="1:12" x14ac:dyDescent="0.35">
      <c r="A19" t="s">
        <v>27</v>
      </c>
      <c r="B19" s="6">
        <v>1410</v>
      </c>
      <c r="C19" s="6">
        <v>8.68</v>
      </c>
      <c r="D19" s="6">
        <v>3474.16</v>
      </c>
      <c r="E19" s="6">
        <v>54.74</v>
      </c>
      <c r="F19" s="6">
        <v>0.46</v>
      </c>
      <c r="G19" s="6">
        <v>1.5</v>
      </c>
      <c r="H19" s="6">
        <v>240.2</v>
      </c>
      <c r="I19" s="6">
        <v>0</v>
      </c>
      <c r="J19" s="6">
        <v>4.3</v>
      </c>
      <c r="K19" s="6">
        <v>8928.02</v>
      </c>
      <c r="L19" s="15">
        <f t="shared" si="0"/>
        <v>14122.060000000001</v>
      </c>
    </row>
    <row r="20" spans="1:12" x14ac:dyDescent="0.35">
      <c r="A20" t="s">
        <v>28</v>
      </c>
      <c r="B20" s="6">
        <v>1950.33</v>
      </c>
      <c r="C20" s="6">
        <v>21.32</v>
      </c>
      <c r="D20" s="6">
        <v>6014.83</v>
      </c>
      <c r="E20" s="6">
        <v>1.84</v>
      </c>
      <c r="F20" s="6">
        <v>0.71</v>
      </c>
      <c r="G20" s="6">
        <v>1</v>
      </c>
      <c r="H20" s="6">
        <v>286</v>
      </c>
      <c r="I20" s="6">
        <v>0</v>
      </c>
      <c r="J20" s="6">
        <v>1.4</v>
      </c>
      <c r="K20" s="6">
        <v>9467.85</v>
      </c>
      <c r="L20" s="15">
        <f t="shared" si="0"/>
        <v>17745.28</v>
      </c>
    </row>
    <row r="21" spans="1:12" x14ac:dyDescent="0.35">
      <c r="A21" t="s">
        <v>94</v>
      </c>
      <c r="B21" s="6">
        <v>0</v>
      </c>
      <c r="C21" s="6">
        <v>0</v>
      </c>
      <c r="D21" s="6">
        <v>107.39</v>
      </c>
      <c r="E21" s="6">
        <v>0</v>
      </c>
      <c r="F21" s="6">
        <v>0</v>
      </c>
      <c r="G21" s="6">
        <v>0</v>
      </c>
      <c r="H21" s="6">
        <v>0.7</v>
      </c>
      <c r="I21" s="6">
        <v>0</v>
      </c>
      <c r="J21" s="6">
        <v>0</v>
      </c>
      <c r="K21" s="6">
        <v>142.19</v>
      </c>
      <c r="L21" s="15">
        <f t="shared" si="0"/>
        <v>250.28</v>
      </c>
    </row>
    <row r="22" spans="1:12" x14ac:dyDescent="0.35">
      <c r="A22" t="s">
        <v>29</v>
      </c>
      <c r="B22" s="6">
        <v>1864.15</v>
      </c>
      <c r="C22" s="6">
        <v>24.38</v>
      </c>
      <c r="D22" s="6">
        <v>8767.7800000000007</v>
      </c>
      <c r="E22" s="6">
        <v>44.16</v>
      </c>
      <c r="F22" s="6">
        <v>4.4400000000000004</v>
      </c>
      <c r="G22" s="6">
        <v>1</v>
      </c>
      <c r="H22" s="6">
        <v>251</v>
      </c>
      <c r="I22" s="6">
        <v>0</v>
      </c>
      <c r="J22" s="6">
        <v>4.9000000000000004</v>
      </c>
      <c r="K22" s="6">
        <v>10965.05</v>
      </c>
      <c r="L22" s="15">
        <f t="shared" si="0"/>
        <v>21926.86</v>
      </c>
    </row>
    <row r="23" spans="1:12" x14ac:dyDescent="0.35">
      <c r="A23" t="s">
        <v>95</v>
      </c>
      <c r="B23" s="6">
        <v>3420.07</v>
      </c>
      <c r="C23" s="6">
        <v>15.12</v>
      </c>
      <c r="D23" s="6">
        <v>5967.11</v>
      </c>
      <c r="E23" s="6">
        <v>52.84</v>
      </c>
      <c r="F23" s="6">
        <v>0.74</v>
      </c>
      <c r="G23" s="6">
        <v>6.6</v>
      </c>
      <c r="H23" s="6">
        <v>75.2</v>
      </c>
      <c r="I23" s="6">
        <v>0.2</v>
      </c>
      <c r="J23" s="6">
        <v>3.8</v>
      </c>
      <c r="K23" s="6">
        <v>22356.19</v>
      </c>
      <c r="L23" s="15">
        <f t="shared" si="0"/>
        <v>31897.87</v>
      </c>
    </row>
    <row r="24" spans="1:12" x14ac:dyDescent="0.35">
      <c r="A24" t="s">
        <v>31</v>
      </c>
      <c r="B24" s="6">
        <v>1146.1500000000001</v>
      </c>
      <c r="C24" s="6">
        <v>18.399999999999999</v>
      </c>
      <c r="D24" s="6">
        <v>1801.64</v>
      </c>
      <c r="E24" s="6">
        <v>6.01</v>
      </c>
      <c r="F24" s="6">
        <v>0.03</v>
      </c>
      <c r="G24" s="6">
        <v>0.9</v>
      </c>
      <c r="H24" s="6">
        <v>73</v>
      </c>
      <c r="I24" s="6">
        <v>0</v>
      </c>
      <c r="J24" s="6">
        <v>0.3</v>
      </c>
      <c r="K24" s="6">
        <v>9113.42</v>
      </c>
      <c r="L24" s="15">
        <f t="shared" si="0"/>
        <v>12159.850000000002</v>
      </c>
    </row>
    <row r="25" spans="1:12" x14ac:dyDescent="0.35">
      <c r="A25" t="s">
        <v>32</v>
      </c>
      <c r="B25" s="6">
        <v>3796.53</v>
      </c>
      <c r="C25" s="6">
        <v>28.18</v>
      </c>
      <c r="D25" s="6">
        <v>8314.52</v>
      </c>
      <c r="E25" s="6">
        <v>37.72</v>
      </c>
      <c r="F25" s="6">
        <v>1.07</v>
      </c>
      <c r="G25" s="6">
        <v>7.5</v>
      </c>
      <c r="H25" s="6">
        <v>306.89999999999998</v>
      </c>
      <c r="I25" s="6">
        <v>0.1</v>
      </c>
      <c r="J25" s="6">
        <v>6.1</v>
      </c>
      <c r="K25" s="6">
        <v>25407.66</v>
      </c>
      <c r="L25" s="15">
        <f t="shared" si="0"/>
        <v>37906.28</v>
      </c>
    </row>
    <row r="26" spans="1:12" x14ac:dyDescent="0.35">
      <c r="A26" t="s">
        <v>33</v>
      </c>
      <c r="B26" s="6">
        <v>1085.31</v>
      </c>
      <c r="C26" s="6">
        <v>44.38</v>
      </c>
      <c r="D26" s="6">
        <v>4737.17</v>
      </c>
      <c r="E26" s="6">
        <v>4.1500000000000004</v>
      </c>
      <c r="F26" s="6">
        <v>0.32</v>
      </c>
      <c r="G26" s="6">
        <v>0.8</v>
      </c>
      <c r="H26" s="6">
        <v>233.6</v>
      </c>
      <c r="I26" s="6">
        <v>0</v>
      </c>
      <c r="J26" s="6">
        <v>3.3</v>
      </c>
      <c r="K26" s="6">
        <v>7698.36</v>
      </c>
      <c r="L26" s="15">
        <f t="shared" si="0"/>
        <v>13807.39</v>
      </c>
    </row>
    <row r="27" spans="1:12" x14ac:dyDescent="0.35">
      <c r="A27" t="s">
        <v>34</v>
      </c>
      <c r="B27" s="6">
        <v>1578.38</v>
      </c>
      <c r="C27" s="6">
        <v>19.72</v>
      </c>
      <c r="D27" s="6">
        <v>4888.66</v>
      </c>
      <c r="E27" s="6">
        <v>17.55</v>
      </c>
      <c r="F27" s="6">
        <v>0.45</v>
      </c>
      <c r="G27" s="6">
        <v>7.6</v>
      </c>
      <c r="H27" s="6">
        <v>61.5</v>
      </c>
      <c r="I27" s="6">
        <v>0</v>
      </c>
      <c r="J27" s="6">
        <v>4.8</v>
      </c>
      <c r="K27" s="6">
        <v>12155.33</v>
      </c>
      <c r="L27" s="15">
        <f t="shared" si="0"/>
        <v>18733.990000000002</v>
      </c>
    </row>
    <row r="28" spans="1:12" x14ac:dyDescent="0.35">
      <c r="A28" t="s">
        <v>35</v>
      </c>
      <c r="B28" s="6">
        <v>2081.36</v>
      </c>
      <c r="C28" s="6">
        <v>24.29</v>
      </c>
      <c r="D28" s="6">
        <v>10935.73</v>
      </c>
      <c r="E28" s="6">
        <v>16.649999999999999</v>
      </c>
      <c r="F28" s="6">
        <v>6.41</v>
      </c>
      <c r="G28" s="6">
        <v>3.6</v>
      </c>
      <c r="H28" s="6">
        <v>262.7</v>
      </c>
      <c r="I28" s="6">
        <v>0</v>
      </c>
      <c r="J28" s="6">
        <v>4.8</v>
      </c>
      <c r="K28" s="6">
        <v>16244.89</v>
      </c>
      <c r="L28" s="15">
        <f t="shared" si="0"/>
        <v>29580.43</v>
      </c>
    </row>
    <row r="29" spans="1:12" x14ac:dyDescent="0.35">
      <c r="A29" t="s">
        <v>36</v>
      </c>
      <c r="B29" s="6">
        <v>1320.3</v>
      </c>
      <c r="C29" s="6">
        <v>25.2</v>
      </c>
      <c r="D29" s="6">
        <v>5136.72</v>
      </c>
      <c r="E29" s="6">
        <v>3.19</v>
      </c>
      <c r="F29" s="6">
        <v>0.18</v>
      </c>
      <c r="G29" s="6">
        <v>9.6</v>
      </c>
      <c r="H29" s="6">
        <v>240.1</v>
      </c>
      <c r="I29" s="6">
        <v>0</v>
      </c>
      <c r="J29" s="6">
        <v>4.5999999999999996</v>
      </c>
      <c r="K29" s="6">
        <v>23781.360000000001</v>
      </c>
      <c r="L29" s="15">
        <f t="shared" si="0"/>
        <v>30521.25</v>
      </c>
    </row>
    <row r="30" spans="1:12" x14ac:dyDescent="0.35">
      <c r="A30" t="s">
        <v>37</v>
      </c>
      <c r="B30" s="6">
        <v>1813.31</v>
      </c>
      <c r="C30" s="6">
        <v>14.31</v>
      </c>
      <c r="D30" s="6">
        <v>4788.63</v>
      </c>
      <c r="E30" s="6">
        <v>27.8</v>
      </c>
      <c r="F30" s="6">
        <v>6.77</v>
      </c>
      <c r="G30" s="6">
        <v>2.4</v>
      </c>
      <c r="H30" s="6">
        <v>98.1</v>
      </c>
      <c r="I30" s="6">
        <v>0</v>
      </c>
      <c r="J30" s="6">
        <v>2.8</v>
      </c>
      <c r="K30" s="6">
        <v>23210.3</v>
      </c>
      <c r="L30" s="15">
        <f t="shared" si="0"/>
        <v>29964.42</v>
      </c>
    </row>
    <row r="31" spans="1:12" x14ac:dyDescent="0.35">
      <c r="A31" t="s">
        <v>38</v>
      </c>
      <c r="B31" s="6">
        <v>3261.32</v>
      </c>
      <c r="C31" s="6">
        <v>22.65</v>
      </c>
      <c r="D31" s="6">
        <v>10052.59</v>
      </c>
      <c r="E31" s="6">
        <v>30.99</v>
      </c>
      <c r="F31" s="6">
        <v>0.25</v>
      </c>
      <c r="G31" s="6">
        <v>2.5</v>
      </c>
      <c r="H31" s="6">
        <v>215.3</v>
      </c>
      <c r="I31" s="6">
        <v>0.8</v>
      </c>
      <c r="J31" s="6">
        <v>7.9</v>
      </c>
      <c r="K31" s="6">
        <v>8966.44</v>
      </c>
      <c r="L31" s="15">
        <f t="shared" si="0"/>
        <v>22560.739999999998</v>
      </c>
    </row>
    <row r="32" spans="1:12" x14ac:dyDescent="0.35">
      <c r="A32" t="s">
        <v>39</v>
      </c>
      <c r="B32" s="6">
        <v>1199.1099999999999</v>
      </c>
      <c r="C32" s="6">
        <v>14.47</v>
      </c>
      <c r="D32" s="6">
        <v>4422.5600000000004</v>
      </c>
      <c r="E32" s="6">
        <v>0.88</v>
      </c>
      <c r="F32" s="6">
        <v>0.82</v>
      </c>
      <c r="G32" s="6">
        <v>2.2000000000000002</v>
      </c>
      <c r="H32" s="6">
        <v>333.2</v>
      </c>
      <c r="I32" s="6">
        <v>0.1</v>
      </c>
      <c r="J32" s="6">
        <v>2</v>
      </c>
      <c r="K32" s="6">
        <v>17183.12</v>
      </c>
      <c r="L32" s="15">
        <f t="shared" si="0"/>
        <v>23158.46</v>
      </c>
    </row>
    <row r="33" spans="1:12" x14ac:dyDescent="0.35">
      <c r="A33" t="s">
        <v>40</v>
      </c>
      <c r="B33" s="6">
        <v>6947.69</v>
      </c>
      <c r="C33" s="6">
        <v>46.49</v>
      </c>
      <c r="D33" s="6">
        <v>15118.12</v>
      </c>
      <c r="E33" s="6">
        <v>5.86</v>
      </c>
      <c r="F33" s="6">
        <v>0.69</v>
      </c>
      <c r="G33" s="6">
        <v>2.2000000000000002</v>
      </c>
      <c r="H33" s="6">
        <v>1199.5999999999999</v>
      </c>
      <c r="I33" s="6">
        <v>0</v>
      </c>
      <c r="J33" s="6">
        <v>5.3</v>
      </c>
      <c r="K33" s="6">
        <v>15116.31</v>
      </c>
      <c r="L33" s="15">
        <f t="shared" si="0"/>
        <v>38442.259999999995</v>
      </c>
    </row>
    <row r="34" spans="1:12" x14ac:dyDescent="0.35">
      <c r="A34" t="s">
        <v>41</v>
      </c>
      <c r="B34" s="6">
        <v>1772.48</v>
      </c>
      <c r="C34" s="6">
        <v>35.770000000000003</v>
      </c>
      <c r="D34" s="6">
        <v>8174.1</v>
      </c>
      <c r="E34" s="6">
        <v>22.74</v>
      </c>
      <c r="F34" s="6">
        <v>0.09</v>
      </c>
      <c r="G34" s="6">
        <v>3.6</v>
      </c>
      <c r="H34" s="6">
        <v>687.4</v>
      </c>
      <c r="I34" s="6">
        <v>0.1</v>
      </c>
      <c r="J34" s="6">
        <v>2.8</v>
      </c>
      <c r="K34" s="6">
        <v>16136.6</v>
      </c>
      <c r="L34" s="15">
        <f t="shared" si="0"/>
        <v>26835.68</v>
      </c>
    </row>
    <row r="35" spans="1:12" x14ac:dyDescent="0.35">
      <c r="A35" t="s">
        <v>42</v>
      </c>
      <c r="B35" s="6">
        <v>1139.6300000000001</v>
      </c>
      <c r="C35" s="6">
        <v>11.36</v>
      </c>
      <c r="D35" s="6">
        <v>3018.5</v>
      </c>
      <c r="E35" s="6">
        <v>0.13</v>
      </c>
      <c r="F35" s="6">
        <v>0.03</v>
      </c>
      <c r="G35" s="6">
        <v>1.2</v>
      </c>
      <c r="H35" s="6">
        <v>52.7</v>
      </c>
      <c r="I35" s="6">
        <v>0</v>
      </c>
      <c r="J35" s="6">
        <v>0.2</v>
      </c>
      <c r="K35" s="6">
        <v>7482.29</v>
      </c>
      <c r="L35" s="15">
        <f t="shared" si="0"/>
        <v>11706.039999999999</v>
      </c>
    </row>
    <row r="36" spans="1:12" x14ac:dyDescent="0.35">
      <c r="A36" t="s">
        <v>43</v>
      </c>
      <c r="B36" s="6">
        <v>3883.39</v>
      </c>
      <c r="C36" s="6">
        <v>48.1</v>
      </c>
      <c r="D36" s="6">
        <v>10792</v>
      </c>
      <c r="E36" s="6">
        <v>33.130000000000003</v>
      </c>
      <c r="F36" s="6">
        <v>2.15</v>
      </c>
      <c r="G36" s="6">
        <v>3.1</v>
      </c>
      <c r="H36" s="6">
        <v>530.9</v>
      </c>
      <c r="I36" s="6">
        <v>0.5</v>
      </c>
      <c r="J36" s="6">
        <v>4.3</v>
      </c>
      <c r="K36" s="6">
        <v>13892.12</v>
      </c>
      <c r="L36" s="15">
        <f t="shared" si="0"/>
        <v>29189.69</v>
      </c>
    </row>
    <row r="37" spans="1:12" x14ac:dyDescent="0.35">
      <c r="A37" t="s">
        <v>44</v>
      </c>
      <c r="B37" s="6">
        <v>3287.72</v>
      </c>
      <c r="C37" s="6">
        <v>31.65</v>
      </c>
      <c r="D37" s="6">
        <v>8624.98</v>
      </c>
      <c r="E37" s="6">
        <v>5.76</v>
      </c>
      <c r="F37" s="6">
        <v>1.18</v>
      </c>
      <c r="G37" s="6">
        <v>0.3</v>
      </c>
      <c r="H37" s="6">
        <v>1496.1</v>
      </c>
      <c r="I37" s="6">
        <v>0</v>
      </c>
      <c r="J37" s="6">
        <v>2.7</v>
      </c>
      <c r="K37" s="6">
        <v>32016.84</v>
      </c>
      <c r="L37" s="15">
        <f t="shared" si="0"/>
        <v>45467.229999999996</v>
      </c>
    </row>
    <row r="38" spans="1:12" x14ac:dyDescent="0.35">
      <c r="A38" t="s">
        <v>45</v>
      </c>
      <c r="B38" s="6">
        <v>1376.41</v>
      </c>
      <c r="C38" s="6">
        <v>101.49</v>
      </c>
      <c r="D38" s="6">
        <v>9359.6299999999992</v>
      </c>
      <c r="E38" s="6">
        <v>66.81</v>
      </c>
      <c r="F38" s="6">
        <v>18.98</v>
      </c>
      <c r="G38" s="6">
        <v>15.1</v>
      </c>
      <c r="H38" s="6">
        <v>287.2</v>
      </c>
      <c r="I38" s="6">
        <v>0.4</v>
      </c>
      <c r="J38" s="6">
        <v>4.8</v>
      </c>
      <c r="K38" s="6">
        <v>24858.51</v>
      </c>
      <c r="L38" s="15">
        <f t="shared" si="0"/>
        <v>36089.329999999994</v>
      </c>
    </row>
    <row r="39" spans="1:12" x14ac:dyDescent="0.35">
      <c r="A39" t="s">
        <v>46</v>
      </c>
      <c r="B39" s="6">
        <v>2083.17</v>
      </c>
      <c r="C39" s="6">
        <v>19.03</v>
      </c>
      <c r="D39" s="6">
        <v>10610.16</v>
      </c>
      <c r="E39" s="6">
        <v>17.3</v>
      </c>
      <c r="F39" s="6">
        <v>0.23</v>
      </c>
      <c r="G39" s="6">
        <v>4.9000000000000004</v>
      </c>
      <c r="H39" s="6">
        <v>138.4</v>
      </c>
      <c r="I39" s="6">
        <v>0.3</v>
      </c>
      <c r="J39" s="6">
        <v>1.6</v>
      </c>
      <c r="K39" s="6">
        <v>13784.03</v>
      </c>
      <c r="L39" s="15">
        <f t="shared" si="0"/>
        <v>26659.119999999999</v>
      </c>
    </row>
    <row r="40" spans="1:12" x14ac:dyDescent="0.35">
      <c r="A40" t="s">
        <v>47</v>
      </c>
      <c r="B40" s="6">
        <v>2042.75</v>
      </c>
      <c r="C40" s="6">
        <v>13.71</v>
      </c>
      <c r="D40" s="6">
        <v>7101.13</v>
      </c>
      <c r="E40" s="6">
        <v>7.23</v>
      </c>
      <c r="F40" s="6">
        <v>0.96</v>
      </c>
      <c r="G40" s="6">
        <v>6.9</v>
      </c>
      <c r="H40" s="6">
        <v>1182.4000000000001</v>
      </c>
      <c r="I40" s="6">
        <v>0.2</v>
      </c>
      <c r="J40" s="6">
        <v>3.8</v>
      </c>
      <c r="K40" s="6">
        <v>13080.03</v>
      </c>
      <c r="L40" s="15">
        <f t="shared" si="0"/>
        <v>23439.11</v>
      </c>
    </row>
    <row r="41" spans="1:12" x14ac:dyDescent="0.35">
      <c r="A41" t="s">
        <v>48</v>
      </c>
      <c r="B41" s="6">
        <v>169.85</v>
      </c>
      <c r="C41" s="6">
        <v>13.05</v>
      </c>
      <c r="D41" s="6">
        <v>2145.61</v>
      </c>
      <c r="E41" s="6">
        <v>4.99</v>
      </c>
      <c r="F41" s="6">
        <v>0.3</v>
      </c>
      <c r="G41" s="6">
        <v>0.6</v>
      </c>
      <c r="H41" s="6">
        <v>88.4</v>
      </c>
      <c r="I41" s="6">
        <v>0.3</v>
      </c>
      <c r="J41" s="6">
        <v>1</v>
      </c>
      <c r="K41" s="6">
        <v>6566.22</v>
      </c>
      <c r="L41" s="15">
        <f t="shared" si="0"/>
        <v>8990.32</v>
      </c>
    </row>
    <row r="42" spans="1:12" x14ac:dyDescent="0.35">
      <c r="A42" t="s">
        <v>49</v>
      </c>
      <c r="B42" s="6">
        <v>2013.08</v>
      </c>
      <c r="C42" s="6">
        <v>27.92</v>
      </c>
      <c r="D42" s="6">
        <v>5232.46</v>
      </c>
      <c r="E42" s="6">
        <v>15.89</v>
      </c>
      <c r="F42" s="6">
        <v>0.99</v>
      </c>
      <c r="G42" s="6">
        <v>0.5</v>
      </c>
      <c r="H42" s="6">
        <v>133.9</v>
      </c>
      <c r="I42" s="6">
        <v>0.1</v>
      </c>
      <c r="J42" s="6">
        <v>4</v>
      </c>
      <c r="K42" s="6">
        <v>8595.16</v>
      </c>
      <c r="L42" s="15">
        <f t="shared" si="0"/>
        <v>16024</v>
      </c>
    </row>
    <row r="43" spans="1:12" x14ac:dyDescent="0.35">
      <c r="A43" t="s">
        <v>50</v>
      </c>
      <c r="B43" s="6">
        <v>3103.28</v>
      </c>
      <c r="C43" s="6">
        <v>25.15</v>
      </c>
      <c r="D43" s="6">
        <v>10120.620000000001</v>
      </c>
      <c r="E43" s="6">
        <v>16.95</v>
      </c>
      <c r="F43" s="6">
        <v>1.67</v>
      </c>
      <c r="G43" s="6">
        <v>9</v>
      </c>
      <c r="H43" s="6">
        <v>246.1</v>
      </c>
      <c r="I43" s="6">
        <v>0.1</v>
      </c>
      <c r="J43" s="6">
        <v>12.7</v>
      </c>
      <c r="K43" s="6">
        <v>31788.54</v>
      </c>
      <c r="L43" s="15">
        <f t="shared" si="0"/>
        <v>45324.11</v>
      </c>
    </row>
    <row r="44" spans="1:12" x14ac:dyDescent="0.35">
      <c r="A44" t="s">
        <v>51</v>
      </c>
      <c r="B44" s="6">
        <v>2537.54</v>
      </c>
      <c r="C44" s="6">
        <v>35.6</v>
      </c>
      <c r="D44" s="6">
        <v>7297.48</v>
      </c>
      <c r="E44" s="6">
        <v>1.1499999999999999</v>
      </c>
      <c r="F44" s="6">
        <v>0.38</v>
      </c>
      <c r="G44" s="6">
        <v>1.2</v>
      </c>
      <c r="H44" s="6">
        <v>480</v>
      </c>
      <c r="I44" s="6">
        <v>0</v>
      </c>
      <c r="J44" s="6">
        <v>2.2999999999999998</v>
      </c>
      <c r="K44" s="6">
        <v>13430.75</v>
      </c>
      <c r="L44" s="15">
        <f t="shared" si="0"/>
        <v>23786.399999999998</v>
      </c>
    </row>
    <row r="45" spans="1:12" x14ac:dyDescent="0.35">
      <c r="A45" t="s">
        <v>52</v>
      </c>
      <c r="B45" s="6">
        <v>1423.38</v>
      </c>
      <c r="C45" s="6">
        <v>28.44</v>
      </c>
      <c r="D45" s="6">
        <v>2898.71</v>
      </c>
      <c r="E45" s="6">
        <v>0.66</v>
      </c>
      <c r="F45" s="6">
        <v>0.25</v>
      </c>
      <c r="G45" s="6">
        <v>0.8</v>
      </c>
      <c r="H45" s="6">
        <v>42.7</v>
      </c>
      <c r="I45" s="6">
        <v>0.1</v>
      </c>
      <c r="J45" s="6">
        <v>2.7</v>
      </c>
      <c r="K45" s="6">
        <v>11300.75</v>
      </c>
      <c r="L45" s="15">
        <f t="shared" si="0"/>
        <v>15698.490000000002</v>
      </c>
    </row>
    <row r="46" spans="1:12" x14ac:dyDescent="0.35">
      <c r="A46" t="s">
        <v>53</v>
      </c>
      <c r="B46" s="6">
        <v>2287.29</v>
      </c>
      <c r="C46" s="6">
        <v>18.95</v>
      </c>
      <c r="D46" s="6">
        <v>5946.68</v>
      </c>
      <c r="E46" s="6">
        <v>1.44</v>
      </c>
      <c r="F46" s="6">
        <v>2</v>
      </c>
      <c r="G46" s="6">
        <v>1.7</v>
      </c>
      <c r="H46" s="6">
        <v>328.6</v>
      </c>
      <c r="I46" s="6">
        <v>0.6</v>
      </c>
      <c r="J46" s="6">
        <v>1.6</v>
      </c>
      <c r="K46" s="6">
        <v>23233.09</v>
      </c>
      <c r="L46" s="15">
        <f t="shared" si="0"/>
        <v>31821.950000000004</v>
      </c>
    </row>
    <row r="47" spans="1:12" x14ac:dyDescent="0.35">
      <c r="A47" t="s">
        <v>54</v>
      </c>
      <c r="B47" s="6">
        <v>1216.0999999999999</v>
      </c>
      <c r="C47" s="6">
        <v>20.36</v>
      </c>
      <c r="D47" s="6">
        <v>4214.3599999999997</v>
      </c>
      <c r="E47" s="6">
        <v>1.74</v>
      </c>
      <c r="F47" s="6">
        <v>0.25</v>
      </c>
      <c r="G47" s="6">
        <v>0.9</v>
      </c>
      <c r="H47" s="6">
        <v>110.6</v>
      </c>
      <c r="I47" s="6">
        <v>0</v>
      </c>
      <c r="J47" s="6">
        <v>1.6</v>
      </c>
      <c r="K47" s="6">
        <v>4275.37</v>
      </c>
      <c r="L47" s="15">
        <f t="shared" si="0"/>
        <v>9841.2799999999988</v>
      </c>
    </row>
    <row r="48" spans="1:12" x14ac:dyDescent="0.35">
      <c r="A48" t="s">
        <v>55</v>
      </c>
      <c r="B48" s="6">
        <v>2334.65</v>
      </c>
      <c r="C48" s="6">
        <v>16.52</v>
      </c>
      <c r="D48" s="6">
        <v>6810.56</v>
      </c>
      <c r="E48" s="6">
        <v>0.99</v>
      </c>
      <c r="F48" s="6">
        <v>0.24</v>
      </c>
      <c r="G48" s="6">
        <v>2.5</v>
      </c>
      <c r="H48" s="6">
        <v>324.2</v>
      </c>
      <c r="I48" s="6">
        <v>0</v>
      </c>
      <c r="J48" s="6">
        <v>2.8</v>
      </c>
      <c r="K48" s="6">
        <v>18110.47</v>
      </c>
      <c r="L48" s="15">
        <f t="shared" si="0"/>
        <v>27602.93</v>
      </c>
    </row>
    <row r="49" spans="1:12" x14ac:dyDescent="0.35">
      <c r="A49" t="s">
        <v>56</v>
      </c>
      <c r="B49" s="6">
        <v>7514.77</v>
      </c>
      <c r="C49" s="6">
        <v>61.73</v>
      </c>
      <c r="D49" s="6">
        <v>9273.56</v>
      </c>
      <c r="E49" s="6">
        <v>19.079999999999998</v>
      </c>
      <c r="F49" s="6">
        <v>1.66</v>
      </c>
      <c r="G49" s="6">
        <v>5.9</v>
      </c>
      <c r="H49" s="6">
        <v>210</v>
      </c>
      <c r="I49" s="6">
        <v>0.4</v>
      </c>
      <c r="J49" s="6">
        <v>15.2</v>
      </c>
      <c r="K49" s="6">
        <v>49536.73</v>
      </c>
      <c r="L49" s="15">
        <f t="shared" si="0"/>
        <v>66639.03</v>
      </c>
    </row>
    <row r="50" spans="1:12" x14ac:dyDescent="0.35">
      <c r="A50" t="s">
        <v>57</v>
      </c>
      <c r="B50" s="6">
        <v>1600.87</v>
      </c>
      <c r="C50" s="6">
        <v>10.95</v>
      </c>
      <c r="D50" s="6">
        <v>5332.12</v>
      </c>
      <c r="E50" s="6">
        <v>4.7</v>
      </c>
      <c r="F50" s="6">
        <v>0.05</v>
      </c>
      <c r="G50" s="6">
        <v>1.1000000000000001</v>
      </c>
      <c r="H50" s="6">
        <v>153.19999999999999</v>
      </c>
      <c r="I50" s="6">
        <v>0.7</v>
      </c>
      <c r="J50" s="6">
        <v>2.4</v>
      </c>
      <c r="K50" s="6">
        <v>8572.7199999999993</v>
      </c>
      <c r="L50" s="15">
        <f t="shared" si="0"/>
        <v>15678.809999999998</v>
      </c>
    </row>
    <row r="51" spans="1:12" x14ac:dyDescent="0.35">
      <c r="A51" t="s">
        <v>58</v>
      </c>
      <c r="B51" s="6">
        <v>589.5</v>
      </c>
      <c r="C51" s="6">
        <v>6.51</v>
      </c>
      <c r="D51" s="6">
        <v>2266.16</v>
      </c>
      <c r="E51" s="6">
        <v>0.01</v>
      </c>
      <c r="F51" s="6">
        <v>0.05</v>
      </c>
      <c r="G51" s="6">
        <v>0.9</v>
      </c>
      <c r="H51" s="6">
        <v>36.4</v>
      </c>
      <c r="I51" s="6">
        <v>0.3</v>
      </c>
      <c r="J51" s="6">
        <v>0.1</v>
      </c>
      <c r="K51" s="6">
        <v>2364.4</v>
      </c>
      <c r="L51" s="15">
        <f t="shared" si="0"/>
        <v>5264.3300000000008</v>
      </c>
    </row>
    <row r="52" spans="1:12" x14ac:dyDescent="0.35">
      <c r="A52" t="s">
        <v>59</v>
      </c>
      <c r="B52" s="6">
        <v>3106.36</v>
      </c>
      <c r="C52" s="6">
        <v>20.81</v>
      </c>
      <c r="D52" s="6">
        <v>4832.29</v>
      </c>
      <c r="E52" s="6">
        <v>7.62</v>
      </c>
      <c r="F52" s="6">
        <v>0.02</v>
      </c>
      <c r="G52" s="6">
        <v>1</v>
      </c>
      <c r="H52" s="6">
        <v>52.9</v>
      </c>
      <c r="I52" s="6">
        <v>0.1</v>
      </c>
      <c r="J52" s="6">
        <v>8.1999999999999993</v>
      </c>
      <c r="K52" s="6">
        <v>12581.77</v>
      </c>
      <c r="L52" s="15">
        <f t="shared" si="0"/>
        <v>20611.07</v>
      </c>
    </row>
    <row r="53" spans="1:12" x14ac:dyDescent="0.35">
      <c r="A53" t="s">
        <v>60</v>
      </c>
      <c r="B53" s="6">
        <v>819.76</v>
      </c>
      <c r="C53" s="6">
        <v>10.56</v>
      </c>
      <c r="D53" s="6">
        <v>3591.86</v>
      </c>
      <c r="E53" s="6">
        <v>0.21</v>
      </c>
      <c r="F53" s="6">
        <v>0</v>
      </c>
      <c r="G53" s="6">
        <v>0.5</v>
      </c>
      <c r="H53" s="6">
        <v>317.5</v>
      </c>
      <c r="I53" s="6">
        <v>0</v>
      </c>
      <c r="J53" s="6">
        <v>1</v>
      </c>
      <c r="K53" s="6">
        <v>13275.1</v>
      </c>
      <c r="L53" s="15">
        <f t="shared" si="0"/>
        <v>18016.490000000002</v>
      </c>
    </row>
    <row r="54" spans="1:12" x14ac:dyDescent="0.35">
      <c r="A54" t="s">
        <v>61</v>
      </c>
      <c r="B54" s="6">
        <v>2397.4899999999998</v>
      </c>
      <c r="C54" s="6">
        <v>20.29</v>
      </c>
      <c r="D54" s="6">
        <v>6603.81</v>
      </c>
      <c r="E54" s="6">
        <v>7.69</v>
      </c>
      <c r="F54" s="6">
        <v>19.04</v>
      </c>
      <c r="G54" s="6">
        <v>2.4</v>
      </c>
      <c r="H54" s="6">
        <v>341.4</v>
      </c>
      <c r="I54" s="6">
        <v>0</v>
      </c>
      <c r="J54" s="6">
        <v>0.4</v>
      </c>
      <c r="K54" s="6">
        <v>10413.14</v>
      </c>
      <c r="L54" s="15">
        <f t="shared" si="0"/>
        <v>19805.66</v>
      </c>
    </row>
    <row r="55" spans="1:12" x14ac:dyDescent="0.35">
      <c r="A55" t="s">
        <v>62</v>
      </c>
      <c r="B55" s="6">
        <v>5916.35</v>
      </c>
      <c r="C55" s="6">
        <v>33.43</v>
      </c>
      <c r="D55" s="6">
        <v>15214</v>
      </c>
      <c r="E55" s="6">
        <v>12.79</v>
      </c>
      <c r="F55" s="6">
        <v>3.29</v>
      </c>
      <c r="G55" s="6">
        <v>45.4</v>
      </c>
      <c r="H55" s="6">
        <v>187.7</v>
      </c>
      <c r="I55" s="6">
        <v>0.2</v>
      </c>
      <c r="J55" s="6">
        <v>9.1999999999999993</v>
      </c>
      <c r="K55" s="6">
        <v>78245.3</v>
      </c>
      <c r="L55" s="15">
        <f t="shared" si="0"/>
        <v>99667.66</v>
      </c>
    </row>
    <row r="56" spans="1:12" x14ac:dyDescent="0.35">
      <c r="A56" t="s">
        <v>96</v>
      </c>
      <c r="B56" s="6">
        <v>3400.2</v>
      </c>
      <c r="C56" s="6">
        <v>32.26</v>
      </c>
      <c r="D56" s="6">
        <v>13835.96</v>
      </c>
      <c r="E56" s="6">
        <v>4.45</v>
      </c>
      <c r="F56" s="6">
        <v>0.82</v>
      </c>
      <c r="G56" s="6">
        <v>28.5</v>
      </c>
      <c r="H56" s="6">
        <v>440.2</v>
      </c>
      <c r="I56" s="6">
        <v>0.1</v>
      </c>
      <c r="J56" s="6">
        <v>3.7</v>
      </c>
      <c r="K56" s="6">
        <v>26938.1</v>
      </c>
      <c r="L56" s="15">
        <f t="shared" si="0"/>
        <v>44684.289999999994</v>
      </c>
    </row>
    <row r="57" spans="1:12" x14ac:dyDescent="0.35">
      <c r="A57" t="s">
        <v>64</v>
      </c>
      <c r="B57" s="6">
        <v>1001.34</v>
      </c>
      <c r="C57" s="6">
        <v>4.8600000000000003</v>
      </c>
      <c r="D57" s="6">
        <v>5442.83</v>
      </c>
      <c r="E57" s="6">
        <v>0</v>
      </c>
      <c r="F57" s="6">
        <v>0</v>
      </c>
      <c r="G57" s="6">
        <v>9.1999999999999993</v>
      </c>
      <c r="H57" s="6">
        <v>112.3</v>
      </c>
      <c r="I57" s="6">
        <v>0.1</v>
      </c>
      <c r="J57" s="6">
        <v>3.4</v>
      </c>
      <c r="K57" s="6">
        <v>4901.3</v>
      </c>
      <c r="L57" s="15">
        <f t="shared" si="0"/>
        <v>11475.33</v>
      </c>
    </row>
    <row r="58" spans="1:12" x14ac:dyDescent="0.35">
      <c r="A58" t="s">
        <v>65</v>
      </c>
      <c r="B58" s="6">
        <v>7300.71</v>
      </c>
      <c r="C58" s="6">
        <v>35.44</v>
      </c>
      <c r="D58" s="6">
        <v>9986.66</v>
      </c>
      <c r="E58" s="6">
        <v>83.72</v>
      </c>
      <c r="F58" s="6">
        <v>1.39</v>
      </c>
      <c r="G58" s="6">
        <v>4.5999999999999996</v>
      </c>
      <c r="H58" s="6">
        <v>354.3</v>
      </c>
      <c r="I58" s="6">
        <v>0.1</v>
      </c>
      <c r="J58" s="6">
        <v>16</v>
      </c>
      <c r="K58" s="6">
        <v>24485.29</v>
      </c>
      <c r="L58" s="15">
        <f t="shared" si="0"/>
        <v>42268.209999999992</v>
      </c>
    </row>
    <row r="59" spans="1:12" x14ac:dyDescent="0.35">
      <c r="A59" t="s">
        <v>66</v>
      </c>
      <c r="B59" s="6">
        <v>999.67</v>
      </c>
      <c r="C59" s="6">
        <v>31.01</v>
      </c>
      <c r="D59" s="6">
        <v>5661.09</v>
      </c>
      <c r="E59" s="6">
        <v>6.49</v>
      </c>
      <c r="F59" s="6">
        <v>0.2</v>
      </c>
      <c r="G59" s="6">
        <v>1.8</v>
      </c>
      <c r="H59" s="6">
        <v>168.3</v>
      </c>
      <c r="I59" s="6">
        <v>0.4</v>
      </c>
      <c r="J59" s="6">
        <v>6.3</v>
      </c>
      <c r="K59" s="6">
        <v>11619.63</v>
      </c>
      <c r="L59" s="15">
        <f t="shared" si="0"/>
        <v>18494.89</v>
      </c>
    </row>
    <row r="60" spans="1:12" x14ac:dyDescent="0.35">
      <c r="A60" t="s">
        <v>67</v>
      </c>
      <c r="B60" s="6">
        <v>1472.14</v>
      </c>
      <c r="C60" s="6">
        <v>17.34</v>
      </c>
      <c r="D60" s="6">
        <v>4250.18</v>
      </c>
      <c r="E60" s="6">
        <v>15.81</v>
      </c>
      <c r="F60" s="6">
        <v>0.12</v>
      </c>
      <c r="G60" s="6">
        <v>1.2</v>
      </c>
      <c r="H60" s="6">
        <v>125.7</v>
      </c>
      <c r="I60" s="6">
        <v>0</v>
      </c>
      <c r="J60" s="6">
        <v>0.8</v>
      </c>
      <c r="K60" s="6">
        <v>10526.99</v>
      </c>
      <c r="L60" s="15">
        <f t="shared" si="0"/>
        <v>16410.28</v>
      </c>
    </row>
    <row r="61" spans="1:12" x14ac:dyDescent="0.35">
      <c r="A61" t="s">
        <v>68</v>
      </c>
      <c r="B61" s="6">
        <v>5210.51</v>
      </c>
      <c r="C61" s="6">
        <v>21.4</v>
      </c>
      <c r="D61" s="6">
        <v>7298.02</v>
      </c>
      <c r="E61" s="6">
        <v>22.25</v>
      </c>
      <c r="F61" s="6">
        <v>1.74</v>
      </c>
      <c r="G61" s="6">
        <v>3.3</v>
      </c>
      <c r="H61" s="6">
        <v>107.5</v>
      </c>
      <c r="I61" s="6">
        <v>0</v>
      </c>
      <c r="J61" s="6">
        <v>7.5</v>
      </c>
      <c r="K61" s="6">
        <v>18592.73</v>
      </c>
      <c r="L61" s="15">
        <f t="shared" si="0"/>
        <v>31264.949999999997</v>
      </c>
    </row>
    <row r="62" spans="1:12" x14ac:dyDescent="0.35">
      <c r="A62" s="14" t="s">
        <v>69</v>
      </c>
      <c r="B62" s="7">
        <f>SUM(B2:B61)</f>
        <v>132402.63</v>
      </c>
      <c r="C62" s="7">
        <f>SUM(C2:C61)</f>
        <v>1330.8700000000001</v>
      </c>
      <c r="D62" s="7">
        <f t="shared" ref="D62:K62" si="1">SUM(D2:D61)</f>
        <v>371793.98</v>
      </c>
      <c r="E62" s="7">
        <f t="shared" si="1"/>
        <v>916.1500000000002</v>
      </c>
      <c r="F62" s="7">
        <f t="shared" si="1"/>
        <v>96.689999999999969</v>
      </c>
      <c r="G62" s="7">
        <f t="shared" si="1"/>
        <v>268.90000000000003</v>
      </c>
      <c r="H62" s="7">
        <f t="shared" si="1"/>
        <v>14935.900000000001</v>
      </c>
      <c r="I62" s="7">
        <f t="shared" si="1"/>
        <v>9.5999999999999979</v>
      </c>
      <c r="J62" s="7">
        <f t="shared" si="1"/>
        <v>218.59999999999994</v>
      </c>
      <c r="K62" s="7">
        <f t="shared" si="1"/>
        <v>935441.22</v>
      </c>
      <c r="L62" s="15">
        <f>SUM($L$2:L61)</f>
        <v>1457414.5399999998</v>
      </c>
    </row>
    <row r="63" spans="1:12" x14ac:dyDescent="0.35">
      <c r="L63" s="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2D1D-3910-4198-8B2D-9F75E3FC27F5}">
  <dimension ref="A1:L64"/>
  <sheetViews>
    <sheetView topLeftCell="B70" workbookViewId="0">
      <selection activeCell="L63" sqref="L63"/>
    </sheetView>
  </sheetViews>
  <sheetFormatPr defaultRowHeight="14.5" x14ac:dyDescent="0.35"/>
  <cols>
    <col min="1" max="1" width="18.08984375" bestFit="1" customWidth="1"/>
    <col min="2" max="2" width="21.7265625" bestFit="1" customWidth="1"/>
    <col min="3" max="3" width="17.36328125" bestFit="1" customWidth="1"/>
    <col min="4" max="4" width="20.1796875" bestFit="1" customWidth="1"/>
    <col min="5" max="7" width="8.81640625" bestFit="1" customWidth="1"/>
    <col min="8" max="8" width="19.81640625" bestFit="1" customWidth="1"/>
    <col min="9" max="10" width="8.81640625" bestFit="1" customWidth="1"/>
    <col min="11" max="11" width="19.54296875" bestFit="1" customWidth="1"/>
    <col min="12" max="12" width="13.1796875" bestFit="1" customWidth="1"/>
    <col min="13" max="13" width="10.54296875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t="s">
        <v>11</v>
      </c>
      <c r="B2" s="2">
        <v>1788.1</v>
      </c>
      <c r="C2" s="2">
        <v>18.34</v>
      </c>
      <c r="D2" s="2">
        <v>4722.17</v>
      </c>
      <c r="E2" s="2">
        <v>17.12</v>
      </c>
      <c r="F2" s="2">
        <v>1.05</v>
      </c>
      <c r="G2" s="2">
        <v>0.9</v>
      </c>
      <c r="H2" s="2">
        <v>41.3</v>
      </c>
      <c r="I2" s="2">
        <v>0.1</v>
      </c>
      <c r="J2" s="2">
        <v>1.5</v>
      </c>
      <c r="K2" s="2">
        <v>11252.21</v>
      </c>
      <c r="L2" s="15">
        <f>SUM(B2:K2)</f>
        <v>17842.79</v>
      </c>
    </row>
    <row r="3" spans="1:12" x14ac:dyDescent="0.35">
      <c r="A3" t="s">
        <v>12</v>
      </c>
      <c r="B3" s="2">
        <v>590.79999999999995</v>
      </c>
      <c r="C3" s="2">
        <v>11.61</v>
      </c>
      <c r="D3" s="2">
        <v>2725.8</v>
      </c>
      <c r="E3" s="2">
        <v>10.62</v>
      </c>
      <c r="F3" s="2">
        <v>0.02</v>
      </c>
      <c r="G3" s="2">
        <v>1</v>
      </c>
      <c r="H3" s="2">
        <v>40.799999999999997</v>
      </c>
      <c r="I3" s="2">
        <v>0.1</v>
      </c>
      <c r="J3" s="2">
        <v>0.2</v>
      </c>
      <c r="K3" s="2">
        <v>7097.55</v>
      </c>
      <c r="L3" s="15">
        <f t="shared" ref="L3:L62" si="0">SUM(B3:K3)</f>
        <v>10478.5</v>
      </c>
    </row>
    <row r="4" spans="1:12" x14ac:dyDescent="0.35">
      <c r="A4" t="s">
        <v>13</v>
      </c>
      <c r="B4" s="2">
        <v>585.47</v>
      </c>
      <c r="C4" s="2">
        <v>13.8</v>
      </c>
      <c r="D4" s="2">
        <v>2014.89</v>
      </c>
      <c r="E4" s="2">
        <v>2.59</v>
      </c>
      <c r="F4" s="2">
        <v>0.14000000000000001</v>
      </c>
      <c r="G4" s="2">
        <v>0.8</v>
      </c>
      <c r="H4" s="2">
        <v>48.8</v>
      </c>
      <c r="I4" s="2">
        <v>0</v>
      </c>
      <c r="J4" s="2">
        <v>2.9</v>
      </c>
      <c r="K4" s="2">
        <v>8262.59</v>
      </c>
      <c r="L4" s="15">
        <f t="shared" si="0"/>
        <v>10931.98</v>
      </c>
    </row>
    <row r="5" spans="1:12" x14ac:dyDescent="0.35">
      <c r="A5" t="s">
        <v>14</v>
      </c>
      <c r="B5" s="2">
        <v>903.26</v>
      </c>
      <c r="C5" s="2">
        <v>21.86</v>
      </c>
      <c r="D5" s="2">
        <v>2821.28</v>
      </c>
      <c r="E5" s="2">
        <v>0.28999999999999998</v>
      </c>
      <c r="F5" s="2">
        <v>1.06</v>
      </c>
      <c r="G5" s="2">
        <v>0.3</v>
      </c>
      <c r="H5" s="2">
        <v>79.900000000000006</v>
      </c>
      <c r="I5" s="2">
        <v>0</v>
      </c>
      <c r="J5" s="2">
        <v>0.9</v>
      </c>
      <c r="K5" s="2">
        <v>7228.94</v>
      </c>
      <c r="L5" s="15">
        <f t="shared" si="0"/>
        <v>11057.79</v>
      </c>
    </row>
    <row r="6" spans="1:12" x14ac:dyDescent="0.35">
      <c r="A6" t="s">
        <v>15</v>
      </c>
      <c r="B6" s="2">
        <v>2440.6</v>
      </c>
      <c r="C6" s="2">
        <v>34.67</v>
      </c>
      <c r="D6" s="2">
        <v>6799.97</v>
      </c>
      <c r="E6" s="2">
        <v>13.95</v>
      </c>
      <c r="F6" s="2">
        <v>1.22</v>
      </c>
      <c r="G6" s="2">
        <v>1.7</v>
      </c>
      <c r="H6" s="2">
        <v>70.400000000000006</v>
      </c>
      <c r="I6" s="2">
        <v>0.1</v>
      </c>
      <c r="J6" s="2">
        <v>0.6</v>
      </c>
      <c r="K6" s="2">
        <v>18846.47</v>
      </c>
      <c r="L6" s="15">
        <f t="shared" si="0"/>
        <v>28209.68</v>
      </c>
    </row>
    <row r="7" spans="1:12" x14ac:dyDescent="0.35">
      <c r="A7" t="s">
        <v>16</v>
      </c>
      <c r="B7" s="2">
        <v>1336.14</v>
      </c>
      <c r="C7" s="2">
        <v>10</v>
      </c>
      <c r="D7" s="2">
        <v>3972.72</v>
      </c>
      <c r="E7" s="2">
        <v>51.9</v>
      </c>
      <c r="F7" s="2">
        <v>0.6</v>
      </c>
      <c r="G7" s="2">
        <v>0.6</v>
      </c>
      <c r="H7" s="2">
        <v>156.6</v>
      </c>
      <c r="I7" s="2">
        <v>0.2</v>
      </c>
      <c r="J7" s="2">
        <v>3.4</v>
      </c>
      <c r="K7" s="2">
        <v>16458.580000000002</v>
      </c>
      <c r="L7" s="15">
        <f t="shared" si="0"/>
        <v>21990.74</v>
      </c>
    </row>
    <row r="8" spans="1:12" x14ac:dyDescent="0.35">
      <c r="A8" t="s">
        <v>17</v>
      </c>
      <c r="B8" s="2">
        <v>1447.11</v>
      </c>
      <c r="C8" s="2">
        <v>16.38</v>
      </c>
      <c r="D8" s="2">
        <v>7161.24</v>
      </c>
      <c r="E8" s="2">
        <v>0</v>
      </c>
      <c r="F8" s="2">
        <v>8.6</v>
      </c>
      <c r="G8" s="2">
        <v>1.9</v>
      </c>
      <c r="H8" s="2">
        <v>219.4</v>
      </c>
      <c r="I8" s="2">
        <v>0</v>
      </c>
      <c r="J8" s="2">
        <v>1.6</v>
      </c>
      <c r="K8" s="2">
        <v>10754.98</v>
      </c>
      <c r="L8" s="15">
        <f t="shared" si="0"/>
        <v>19611.21</v>
      </c>
    </row>
    <row r="9" spans="1:12" x14ac:dyDescent="0.35">
      <c r="A9" t="s">
        <v>18</v>
      </c>
      <c r="B9" s="2">
        <v>3773.86</v>
      </c>
      <c r="C9" s="2">
        <v>37.61</v>
      </c>
      <c r="D9" s="2">
        <v>6190.81</v>
      </c>
      <c r="E9" s="2">
        <v>6.49</v>
      </c>
      <c r="F9" s="2">
        <v>0.82</v>
      </c>
      <c r="G9" s="2">
        <v>21.2</v>
      </c>
      <c r="H9" s="2">
        <v>168.4</v>
      </c>
      <c r="I9" s="2">
        <v>0.2</v>
      </c>
      <c r="J9" s="2">
        <v>1.7</v>
      </c>
      <c r="K9" s="2">
        <v>15197.55</v>
      </c>
      <c r="L9" s="15">
        <f t="shared" si="0"/>
        <v>25398.639999999999</v>
      </c>
    </row>
    <row r="10" spans="1:12" x14ac:dyDescent="0.35">
      <c r="A10" t="s">
        <v>91</v>
      </c>
      <c r="B10" s="2">
        <v>260.87</v>
      </c>
      <c r="C10" s="2">
        <v>29.9</v>
      </c>
      <c r="D10" s="2">
        <v>3111.97</v>
      </c>
      <c r="E10" s="2">
        <v>8.91</v>
      </c>
      <c r="F10" s="2">
        <v>0.17</v>
      </c>
      <c r="G10" s="2">
        <v>0.4</v>
      </c>
      <c r="H10" s="2">
        <v>82.4</v>
      </c>
      <c r="I10" s="2">
        <v>0</v>
      </c>
      <c r="J10" s="2">
        <v>0</v>
      </c>
      <c r="K10" s="2">
        <v>7427.33</v>
      </c>
      <c r="L10" s="15">
        <f t="shared" si="0"/>
        <v>10921.95</v>
      </c>
    </row>
    <row r="11" spans="1:12" x14ac:dyDescent="0.35">
      <c r="A11" t="s">
        <v>20</v>
      </c>
      <c r="B11" s="2">
        <v>523.62</v>
      </c>
      <c r="C11" s="2">
        <v>21.65</v>
      </c>
      <c r="D11" s="2">
        <v>3152.44</v>
      </c>
      <c r="E11" s="2">
        <v>1.31</v>
      </c>
      <c r="F11" s="2">
        <v>1.45</v>
      </c>
      <c r="G11" s="2">
        <v>1</v>
      </c>
      <c r="H11" s="2">
        <v>242.3</v>
      </c>
      <c r="I11" s="2">
        <v>0</v>
      </c>
      <c r="J11" s="2">
        <v>2.5</v>
      </c>
      <c r="K11" s="2">
        <v>7950.96</v>
      </c>
      <c r="L11" s="15">
        <f t="shared" si="0"/>
        <v>11897.23</v>
      </c>
    </row>
    <row r="12" spans="1:12" x14ac:dyDescent="0.35">
      <c r="A12" t="s">
        <v>21</v>
      </c>
      <c r="B12" s="2">
        <v>2381.98</v>
      </c>
      <c r="C12" s="2">
        <v>20.51</v>
      </c>
      <c r="D12" s="2">
        <v>6250.67</v>
      </c>
      <c r="E12" s="2">
        <v>4.92</v>
      </c>
      <c r="F12" s="2">
        <v>0.39</v>
      </c>
      <c r="G12" s="2">
        <v>34.299999999999997</v>
      </c>
      <c r="H12" s="2">
        <v>281</v>
      </c>
      <c r="I12" s="2">
        <v>0.4</v>
      </c>
      <c r="J12" s="2">
        <v>11.5</v>
      </c>
      <c r="K12" s="2">
        <v>17234.099999999999</v>
      </c>
      <c r="L12" s="15">
        <f t="shared" si="0"/>
        <v>26219.769999999997</v>
      </c>
    </row>
    <row r="13" spans="1:12" x14ac:dyDescent="0.35">
      <c r="A13" t="s">
        <v>22</v>
      </c>
      <c r="B13" s="2">
        <v>4266.0200000000004</v>
      </c>
      <c r="C13" s="2">
        <v>19.41</v>
      </c>
      <c r="D13" s="2">
        <v>7179.33</v>
      </c>
      <c r="E13" s="2">
        <v>6.49</v>
      </c>
      <c r="F13" s="2">
        <v>1.0900000000000001</v>
      </c>
      <c r="G13" s="2">
        <v>5.2</v>
      </c>
      <c r="H13" s="2">
        <v>129</v>
      </c>
      <c r="I13" s="2">
        <v>0.8</v>
      </c>
      <c r="J13" s="2">
        <v>4.4000000000000004</v>
      </c>
      <c r="K13" s="2">
        <v>32130.23</v>
      </c>
      <c r="L13" s="15">
        <f t="shared" si="0"/>
        <v>43741.97</v>
      </c>
    </row>
    <row r="14" spans="1:12" x14ac:dyDescent="0.35">
      <c r="A14" t="s">
        <v>23</v>
      </c>
      <c r="B14" s="2">
        <v>1313.55</v>
      </c>
      <c r="C14" s="2">
        <v>37.96</v>
      </c>
      <c r="D14" s="2">
        <v>3521.07</v>
      </c>
      <c r="E14" s="2">
        <v>0.86</v>
      </c>
      <c r="F14" s="2">
        <v>0.3</v>
      </c>
      <c r="G14" s="2">
        <v>1.7</v>
      </c>
      <c r="H14" s="2">
        <v>625.20000000000005</v>
      </c>
      <c r="I14" s="2">
        <v>0.1</v>
      </c>
      <c r="J14" s="2">
        <v>0.4</v>
      </c>
      <c r="K14" s="2">
        <v>8602.1299999999992</v>
      </c>
      <c r="L14" s="15">
        <f t="shared" si="0"/>
        <v>14103.269999999999</v>
      </c>
    </row>
    <row r="15" spans="1:12" x14ac:dyDescent="0.35">
      <c r="A15" t="s">
        <v>24</v>
      </c>
      <c r="B15" s="2">
        <v>3019.89</v>
      </c>
      <c r="C15" s="2">
        <v>18.03</v>
      </c>
      <c r="D15" s="2">
        <v>4654.51</v>
      </c>
      <c r="E15" s="2">
        <v>3.64</v>
      </c>
      <c r="F15" s="2">
        <v>2.38</v>
      </c>
      <c r="G15" s="2">
        <v>1</v>
      </c>
      <c r="H15" s="2">
        <v>68.8</v>
      </c>
      <c r="I15" s="2">
        <v>0</v>
      </c>
      <c r="J15" s="2">
        <v>4.5999999999999996</v>
      </c>
      <c r="K15" s="2">
        <v>18492.310000000001</v>
      </c>
      <c r="L15" s="15">
        <f t="shared" si="0"/>
        <v>26265.160000000003</v>
      </c>
    </row>
    <row r="16" spans="1:12" x14ac:dyDescent="0.35">
      <c r="A16" t="s">
        <v>25</v>
      </c>
      <c r="B16" s="2">
        <v>289.62</v>
      </c>
      <c r="C16" s="2">
        <v>11.82</v>
      </c>
      <c r="D16" s="2">
        <v>1617.05</v>
      </c>
      <c r="E16" s="2">
        <v>5.43</v>
      </c>
      <c r="F16" s="2">
        <v>0.17</v>
      </c>
      <c r="G16" s="2">
        <v>0.8</v>
      </c>
      <c r="H16" s="2">
        <v>101</v>
      </c>
      <c r="I16" s="2">
        <v>0</v>
      </c>
      <c r="J16" s="2">
        <v>1.3</v>
      </c>
      <c r="K16" s="2">
        <v>5789.47</v>
      </c>
      <c r="L16" s="15">
        <f t="shared" si="0"/>
        <v>7816.66</v>
      </c>
    </row>
    <row r="17" spans="1:12" x14ac:dyDescent="0.35">
      <c r="A17" t="s">
        <v>92</v>
      </c>
      <c r="B17" s="2">
        <v>720.08</v>
      </c>
      <c r="C17" s="2">
        <v>9.4499999999999993</v>
      </c>
      <c r="D17" s="2">
        <v>2773.04</v>
      </c>
      <c r="E17" s="2">
        <v>12.6</v>
      </c>
      <c r="F17" s="2">
        <v>0.36</v>
      </c>
      <c r="G17" s="2">
        <v>0.3</v>
      </c>
      <c r="H17" s="2">
        <v>86.6</v>
      </c>
      <c r="I17" s="2">
        <v>0</v>
      </c>
      <c r="J17" s="2">
        <v>0.8</v>
      </c>
      <c r="K17" s="2">
        <v>9730.2900000000009</v>
      </c>
      <c r="L17" s="15">
        <f t="shared" si="0"/>
        <v>13333.52</v>
      </c>
    </row>
    <row r="18" spans="1:12" x14ac:dyDescent="0.35">
      <c r="A18" t="s">
        <v>93</v>
      </c>
      <c r="B18" s="2">
        <v>551.42999999999995</v>
      </c>
      <c r="C18" s="2">
        <v>21.27</v>
      </c>
      <c r="D18" s="2">
        <v>4890.93</v>
      </c>
      <c r="E18" s="2">
        <v>5.09</v>
      </c>
      <c r="F18" s="2">
        <v>0.12</v>
      </c>
      <c r="G18" s="2">
        <v>6.5</v>
      </c>
      <c r="H18" s="2">
        <v>56.8</v>
      </c>
      <c r="I18" s="2">
        <v>0.1</v>
      </c>
      <c r="J18" s="2">
        <v>0</v>
      </c>
      <c r="K18" s="2">
        <v>14597.64</v>
      </c>
      <c r="L18" s="15">
        <f t="shared" si="0"/>
        <v>20129.88</v>
      </c>
    </row>
    <row r="19" spans="1:12" x14ac:dyDescent="0.35">
      <c r="A19" t="s">
        <v>27</v>
      </c>
      <c r="B19" s="2">
        <v>1022.18</v>
      </c>
      <c r="C19" s="2">
        <v>13</v>
      </c>
      <c r="D19" s="2">
        <v>2618.1999999999998</v>
      </c>
      <c r="E19" s="2">
        <v>7.61</v>
      </c>
      <c r="F19" s="2">
        <v>0.31</v>
      </c>
      <c r="G19" s="2">
        <v>0.5</v>
      </c>
      <c r="H19" s="2">
        <v>351.9</v>
      </c>
      <c r="I19" s="2">
        <v>0.2</v>
      </c>
      <c r="J19" s="2">
        <v>3.9</v>
      </c>
      <c r="K19" s="2">
        <v>8316.23</v>
      </c>
      <c r="L19" s="15">
        <f t="shared" si="0"/>
        <v>12334.029999999999</v>
      </c>
    </row>
    <row r="20" spans="1:12" x14ac:dyDescent="0.35">
      <c r="A20" t="s">
        <v>28</v>
      </c>
      <c r="B20" s="2">
        <v>2083.56</v>
      </c>
      <c r="C20" s="2">
        <v>17.7</v>
      </c>
      <c r="D20" s="2">
        <v>5689.73</v>
      </c>
      <c r="E20" s="2">
        <v>3.71</v>
      </c>
      <c r="F20" s="2">
        <v>1.57</v>
      </c>
      <c r="G20" s="2">
        <v>1.5</v>
      </c>
      <c r="H20" s="2">
        <v>558.79999999999995</v>
      </c>
      <c r="I20" s="2">
        <v>0</v>
      </c>
      <c r="J20" s="2">
        <v>3.1</v>
      </c>
      <c r="K20" s="2">
        <v>10233.540000000001</v>
      </c>
      <c r="L20" s="15">
        <f t="shared" si="0"/>
        <v>18593.21</v>
      </c>
    </row>
    <row r="21" spans="1:12" x14ac:dyDescent="0.35">
      <c r="A21" t="s">
        <v>94</v>
      </c>
      <c r="B21" s="2">
        <v>778.38</v>
      </c>
      <c r="C21" s="2">
        <v>5.55</v>
      </c>
      <c r="D21" s="2">
        <v>3068.82</v>
      </c>
      <c r="E21" s="2">
        <v>12.27</v>
      </c>
      <c r="F21" s="2">
        <v>1.42</v>
      </c>
      <c r="G21" s="2">
        <v>0.6</v>
      </c>
      <c r="H21" s="2">
        <v>56.1</v>
      </c>
      <c r="I21" s="2">
        <v>0</v>
      </c>
      <c r="J21" s="2">
        <v>0.7</v>
      </c>
      <c r="K21" s="2">
        <v>15841.54</v>
      </c>
      <c r="L21" s="15">
        <f t="shared" si="0"/>
        <v>19765.38</v>
      </c>
    </row>
    <row r="22" spans="1:12" x14ac:dyDescent="0.35">
      <c r="A22" t="s">
        <v>97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15">
        <f t="shared" si="0"/>
        <v>0</v>
      </c>
    </row>
    <row r="23" spans="1:12" x14ac:dyDescent="0.35">
      <c r="A23" t="s">
        <v>29</v>
      </c>
      <c r="B23" s="2">
        <v>1543.95</v>
      </c>
      <c r="C23" s="2">
        <v>16.02</v>
      </c>
      <c r="D23" s="2">
        <v>6962.03</v>
      </c>
      <c r="E23" s="2">
        <v>1.23</v>
      </c>
      <c r="F23" s="2">
        <v>2.83</v>
      </c>
      <c r="G23" s="2">
        <v>0.7</v>
      </c>
      <c r="H23" s="2">
        <v>122.9</v>
      </c>
      <c r="I23" s="2">
        <v>0.1</v>
      </c>
      <c r="J23" s="2">
        <v>5.2</v>
      </c>
      <c r="K23" s="2">
        <v>9264.35</v>
      </c>
      <c r="L23" s="15">
        <f t="shared" si="0"/>
        <v>17919.310000000001</v>
      </c>
    </row>
    <row r="24" spans="1:12" x14ac:dyDescent="0.35">
      <c r="A24" t="s">
        <v>95</v>
      </c>
      <c r="B24" s="2">
        <v>3478.09</v>
      </c>
      <c r="C24" s="2">
        <v>11.15</v>
      </c>
      <c r="D24" s="2">
        <v>4878.54</v>
      </c>
      <c r="E24" s="2">
        <v>14.52</v>
      </c>
      <c r="F24" s="2">
        <v>1.77</v>
      </c>
      <c r="G24" s="2">
        <v>1.4</v>
      </c>
      <c r="H24" s="2">
        <v>75.099999999999994</v>
      </c>
      <c r="I24" s="2">
        <v>0</v>
      </c>
      <c r="J24" s="2">
        <v>1.4</v>
      </c>
      <c r="K24" s="2">
        <v>23850.87</v>
      </c>
      <c r="L24" s="15">
        <f t="shared" si="0"/>
        <v>32312.84</v>
      </c>
    </row>
    <row r="25" spans="1:12" x14ac:dyDescent="0.35">
      <c r="A25" t="s">
        <v>31</v>
      </c>
      <c r="B25" s="2">
        <v>999.67</v>
      </c>
      <c r="C25" s="2">
        <v>7.35</v>
      </c>
      <c r="D25" s="2">
        <v>1379.97</v>
      </c>
      <c r="E25" s="2">
        <v>1.45</v>
      </c>
      <c r="F25" s="2">
        <v>0</v>
      </c>
      <c r="G25" s="2">
        <v>1.2</v>
      </c>
      <c r="H25" s="2">
        <v>50.5</v>
      </c>
      <c r="I25" s="2">
        <v>0.1</v>
      </c>
      <c r="J25" s="2">
        <v>0.1</v>
      </c>
      <c r="K25" s="2">
        <v>7269.89</v>
      </c>
      <c r="L25" s="15">
        <f t="shared" si="0"/>
        <v>9710.23</v>
      </c>
    </row>
    <row r="26" spans="1:12" x14ac:dyDescent="0.35">
      <c r="A26" t="s">
        <v>32</v>
      </c>
      <c r="B26" s="2">
        <v>2869.77</v>
      </c>
      <c r="C26" s="2">
        <v>24.02</v>
      </c>
      <c r="D26" s="2">
        <v>6785.62</v>
      </c>
      <c r="E26" s="2">
        <v>10.68</v>
      </c>
      <c r="F26" s="2">
        <v>2.0699999999999998</v>
      </c>
      <c r="G26" s="2">
        <v>8.5</v>
      </c>
      <c r="H26" s="2">
        <v>426</v>
      </c>
      <c r="I26" s="2">
        <v>0</v>
      </c>
      <c r="J26" s="2">
        <v>5</v>
      </c>
      <c r="K26" s="2">
        <v>21132.13</v>
      </c>
      <c r="L26" s="15">
        <f t="shared" si="0"/>
        <v>31263.79</v>
      </c>
    </row>
    <row r="27" spans="1:12" x14ac:dyDescent="0.35">
      <c r="A27" t="s">
        <v>33</v>
      </c>
      <c r="B27" s="2">
        <v>827.48</v>
      </c>
      <c r="C27" s="2">
        <v>34.15</v>
      </c>
      <c r="D27" s="2">
        <v>4124.08</v>
      </c>
      <c r="E27" s="2">
        <v>0.28000000000000003</v>
      </c>
      <c r="F27" s="2">
        <v>0.91</v>
      </c>
      <c r="G27" s="2">
        <v>0.5</v>
      </c>
      <c r="H27" s="2">
        <v>135.5</v>
      </c>
      <c r="I27" s="2">
        <v>0.1</v>
      </c>
      <c r="J27" s="2">
        <v>0.5</v>
      </c>
      <c r="K27" s="2">
        <v>7315.81</v>
      </c>
      <c r="L27" s="15">
        <f t="shared" si="0"/>
        <v>12439.310000000001</v>
      </c>
    </row>
    <row r="28" spans="1:12" x14ac:dyDescent="0.35">
      <c r="A28" t="s">
        <v>34</v>
      </c>
      <c r="B28" s="2">
        <v>1016.53</v>
      </c>
      <c r="C28" s="2">
        <v>28.12</v>
      </c>
      <c r="D28" s="2">
        <v>3615.65</v>
      </c>
      <c r="E28" s="2">
        <v>4.97</v>
      </c>
      <c r="F28" s="2">
        <v>0.21</v>
      </c>
      <c r="G28" s="2">
        <v>6.9</v>
      </c>
      <c r="H28" s="2">
        <v>73.7</v>
      </c>
      <c r="I28" s="2">
        <v>0.2</v>
      </c>
      <c r="J28" s="2">
        <v>0</v>
      </c>
      <c r="K28" s="2">
        <v>14168.17</v>
      </c>
      <c r="L28" s="15">
        <f t="shared" si="0"/>
        <v>18914.45</v>
      </c>
    </row>
    <row r="29" spans="1:12" x14ac:dyDescent="0.35">
      <c r="A29" t="s">
        <v>35</v>
      </c>
      <c r="B29" s="2">
        <v>2404.0700000000002</v>
      </c>
      <c r="C29" s="2">
        <v>43.61</v>
      </c>
      <c r="D29" s="2">
        <v>9126.57</v>
      </c>
      <c r="E29" s="2">
        <v>16.809999999999999</v>
      </c>
      <c r="F29" s="2">
        <v>1.03</v>
      </c>
      <c r="G29" s="2">
        <v>2.2000000000000002</v>
      </c>
      <c r="H29" s="2">
        <v>279.8</v>
      </c>
      <c r="I29" s="2">
        <v>0</v>
      </c>
      <c r="J29" s="2">
        <v>1.2</v>
      </c>
      <c r="K29" s="2">
        <v>11982.67</v>
      </c>
      <c r="L29" s="15">
        <f t="shared" si="0"/>
        <v>23857.96</v>
      </c>
    </row>
    <row r="30" spans="1:12" x14ac:dyDescent="0.35">
      <c r="A30" t="s">
        <v>36</v>
      </c>
      <c r="B30" s="2">
        <v>1082.8900000000001</v>
      </c>
      <c r="C30" s="2">
        <v>22.17</v>
      </c>
      <c r="D30" s="2">
        <v>2977.45</v>
      </c>
      <c r="E30" s="2">
        <v>7.0000000000000007E-2</v>
      </c>
      <c r="F30" s="2">
        <v>0.4</v>
      </c>
      <c r="G30" s="2">
        <v>2.5</v>
      </c>
      <c r="H30" s="2">
        <v>77.8</v>
      </c>
      <c r="I30" s="2">
        <v>0</v>
      </c>
      <c r="J30" s="2">
        <v>0.8</v>
      </c>
      <c r="K30" s="2">
        <v>19813.439999999999</v>
      </c>
      <c r="L30" s="15">
        <f t="shared" si="0"/>
        <v>23977.52</v>
      </c>
    </row>
    <row r="31" spans="1:12" x14ac:dyDescent="0.35">
      <c r="A31" t="s">
        <v>37</v>
      </c>
      <c r="B31" s="2">
        <v>1228.44</v>
      </c>
      <c r="C31" s="2">
        <v>11.73</v>
      </c>
      <c r="D31" s="2">
        <v>2941.64</v>
      </c>
      <c r="E31" s="2">
        <v>4.33</v>
      </c>
      <c r="F31" s="2">
        <v>4.42</v>
      </c>
      <c r="G31" s="2">
        <v>0.6</v>
      </c>
      <c r="H31" s="2">
        <v>53.2</v>
      </c>
      <c r="I31" s="2">
        <v>0.3</v>
      </c>
      <c r="J31" s="2">
        <v>2.6</v>
      </c>
      <c r="K31" s="2">
        <v>18130.830000000002</v>
      </c>
      <c r="L31" s="15">
        <f t="shared" si="0"/>
        <v>22378.090000000004</v>
      </c>
    </row>
    <row r="32" spans="1:12" x14ac:dyDescent="0.35">
      <c r="A32" t="s">
        <v>38</v>
      </c>
      <c r="B32" s="2">
        <v>2676.38</v>
      </c>
      <c r="C32" s="2">
        <v>27.85</v>
      </c>
      <c r="D32" s="2">
        <v>7957.5</v>
      </c>
      <c r="E32" s="2">
        <v>19.11</v>
      </c>
      <c r="F32" s="2">
        <v>1.07</v>
      </c>
      <c r="G32" s="2">
        <v>2.7</v>
      </c>
      <c r="H32" s="2">
        <v>212.5</v>
      </c>
      <c r="I32" s="2">
        <v>0.3</v>
      </c>
      <c r="J32" s="2">
        <v>2</v>
      </c>
      <c r="K32" s="2">
        <v>8156.84</v>
      </c>
      <c r="L32" s="15">
        <f t="shared" si="0"/>
        <v>19056.25</v>
      </c>
    </row>
    <row r="33" spans="1:12" x14ac:dyDescent="0.35">
      <c r="A33" t="s">
        <v>39</v>
      </c>
      <c r="B33" s="2">
        <v>1222.57</v>
      </c>
      <c r="C33" s="2">
        <v>13.91</v>
      </c>
      <c r="D33" s="2">
        <v>4121.43</v>
      </c>
      <c r="E33" s="2">
        <v>0.09</v>
      </c>
      <c r="F33" s="2">
        <v>1.54</v>
      </c>
      <c r="G33" s="2">
        <v>1.8</v>
      </c>
      <c r="H33" s="2">
        <v>224</v>
      </c>
      <c r="I33" s="2">
        <v>0</v>
      </c>
      <c r="J33" s="2">
        <v>2.4</v>
      </c>
      <c r="K33" s="2">
        <v>18779.830000000002</v>
      </c>
      <c r="L33" s="15">
        <f t="shared" si="0"/>
        <v>24367.57</v>
      </c>
    </row>
    <row r="34" spans="1:12" x14ac:dyDescent="0.35">
      <c r="A34" t="s">
        <v>40</v>
      </c>
      <c r="B34" s="2">
        <v>4688.96</v>
      </c>
      <c r="C34" s="2">
        <v>38.299999999999997</v>
      </c>
      <c r="D34" s="2">
        <v>12593.15</v>
      </c>
      <c r="E34" s="2">
        <v>12.72</v>
      </c>
      <c r="F34" s="2">
        <v>0.23</v>
      </c>
      <c r="G34" s="2">
        <v>2.8</v>
      </c>
      <c r="H34" s="2">
        <v>1289.4000000000001</v>
      </c>
      <c r="I34" s="2">
        <v>0</v>
      </c>
      <c r="J34" s="2">
        <v>0.1</v>
      </c>
      <c r="K34" s="2">
        <v>11969.83</v>
      </c>
      <c r="L34" s="15">
        <f t="shared" si="0"/>
        <v>30595.489999999998</v>
      </c>
    </row>
    <row r="35" spans="1:12" x14ac:dyDescent="0.35">
      <c r="A35" t="s">
        <v>41</v>
      </c>
      <c r="B35" s="2">
        <v>2177.58</v>
      </c>
      <c r="C35" s="2">
        <v>25.98</v>
      </c>
      <c r="D35" s="2">
        <v>7551.2</v>
      </c>
      <c r="E35" s="2">
        <v>10.26</v>
      </c>
      <c r="F35" s="2">
        <v>2.5099999999999998</v>
      </c>
      <c r="G35" s="2">
        <v>3.6</v>
      </c>
      <c r="H35" s="2">
        <v>842.3</v>
      </c>
      <c r="I35" s="2">
        <v>0</v>
      </c>
      <c r="J35" s="2">
        <v>3.2</v>
      </c>
      <c r="K35" s="2">
        <v>15609.14</v>
      </c>
      <c r="L35" s="15">
        <f t="shared" si="0"/>
        <v>26225.77</v>
      </c>
    </row>
    <row r="36" spans="1:12" x14ac:dyDescent="0.35">
      <c r="A36" t="s">
        <v>42</v>
      </c>
      <c r="B36" s="2">
        <v>1242.94</v>
      </c>
      <c r="C36" s="2">
        <v>10.96</v>
      </c>
      <c r="D36" s="2">
        <v>3011.21</v>
      </c>
      <c r="E36" s="2">
        <v>4.46</v>
      </c>
      <c r="F36" s="2">
        <v>0.08</v>
      </c>
      <c r="G36" s="2">
        <v>0.7</v>
      </c>
      <c r="H36" s="2">
        <v>85.7</v>
      </c>
      <c r="I36" s="2">
        <v>0</v>
      </c>
      <c r="J36" s="2">
        <v>1.9</v>
      </c>
      <c r="K36" s="2">
        <v>7272.2</v>
      </c>
      <c r="L36" s="15">
        <f t="shared" si="0"/>
        <v>11630.15</v>
      </c>
    </row>
    <row r="37" spans="1:12" x14ac:dyDescent="0.35">
      <c r="A37" t="s">
        <v>43</v>
      </c>
      <c r="B37" s="2">
        <v>3360.7</v>
      </c>
      <c r="C37" s="2">
        <v>55.4</v>
      </c>
      <c r="D37" s="2">
        <v>8284.08</v>
      </c>
      <c r="E37" s="2">
        <v>16.71</v>
      </c>
      <c r="F37" s="2">
        <v>0.47</v>
      </c>
      <c r="G37" s="2">
        <v>3</v>
      </c>
      <c r="H37" s="2">
        <v>438.3</v>
      </c>
      <c r="I37" s="2">
        <v>0.2</v>
      </c>
      <c r="J37" s="2">
        <v>1.1000000000000001</v>
      </c>
      <c r="K37" s="2">
        <v>10880.92</v>
      </c>
      <c r="L37" s="15">
        <f t="shared" si="0"/>
        <v>23040.879999999997</v>
      </c>
    </row>
    <row r="38" spans="1:12" x14ac:dyDescent="0.35">
      <c r="A38" t="s">
        <v>44</v>
      </c>
      <c r="B38" s="2">
        <v>2755.33</v>
      </c>
      <c r="C38" s="2">
        <v>43.7</v>
      </c>
      <c r="D38" s="2">
        <v>6767.73</v>
      </c>
      <c r="E38" s="2">
        <v>1.42</v>
      </c>
      <c r="F38" s="2">
        <v>0.33</v>
      </c>
      <c r="G38" s="2">
        <v>2.1</v>
      </c>
      <c r="H38" s="2">
        <v>1633.3</v>
      </c>
      <c r="I38" s="2">
        <v>0</v>
      </c>
      <c r="J38" s="2">
        <v>1.2</v>
      </c>
      <c r="K38" s="2">
        <v>31069.56</v>
      </c>
      <c r="L38" s="15">
        <f t="shared" si="0"/>
        <v>42274.67</v>
      </c>
    </row>
    <row r="39" spans="1:12" x14ac:dyDescent="0.35">
      <c r="A39" t="s">
        <v>45</v>
      </c>
      <c r="B39" s="2">
        <v>1281.18</v>
      </c>
      <c r="C39" s="2">
        <v>89.97</v>
      </c>
      <c r="D39" s="2">
        <v>8240.94</v>
      </c>
      <c r="E39" s="2">
        <v>42.36</v>
      </c>
      <c r="F39" s="2">
        <v>10.75</v>
      </c>
      <c r="G39" s="2">
        <v>57.5</v>
      </c>
      <c r="H39" s="2">
        <v>243.3</v>
      </c>
      <c r="I39" s="2">
        <v>0.9</v>
      </c>
      <c r="J39" s="2">
        <v>2.9</v>
      </c>
      <c r="K39" s="2">
        <v>31344.79</v>
      </c>
      <c r="L39" s="15">
        <f t="shared" si="0"/>
        <v>41314.589999999997</v>
      </c>
    </row>
    <row r="40" spans="1:12" x14ac:dyDescent="0.35">
      <c r="A40" t="s">
        <v>46</v>
      </c>
      <c r="B40" s="2">
        <v>1765.3</v>
      </c>
      <c r="C40" s="2">
        <v>24.04</v>
      </c>
      <c r="D40" s="2">
        <v>8153.2</v>
      </c>
      <c r="E40" s="2">
        <v>0.32</v>
      </c>
      <c r="F40" s="2">
        <v>1.43</v>
      </c>
      <c r="G40" s="2">
        <v>8</v>
      </c>
      <c r="H40" s="2">
        <v>123.4</v>
      </c>
      <c r="I40" s="2">
        <v>0.1</v>
      </c>
      <c r="J40" s="2">
        <v>0.9</v>
      </c>
      <c r="K40" s="2">
        <v>10586.7</v>
      </c>
      <c r="L40" s="15">
        <f t="shared" si="0"/>
        <v>20663.39</v>
      </c>
    </row>
    <row r="41" spans="1:12" x14ac:dyDescent="0.35">
      <c r="A41" t="s">
        <v>47</v>
      </c>
      <c r="B41" s="2">
        <v>1687.27</v>
      </c>
      <c r="C41" s="2">
        <v>36</v>
      </c>
      <c r="D41" s="2">
        <v>6111.97</v>
      </c>
      <c r="E41" s="2">
        <v>11.78</v>
      </c>
      <c r="F41" s="2">
        <v>1.02</v>
      </c>
      <c r="G41" s="2">
        <v>21.8</v>
      </c>
      <c r="H41" s="2">
        <v>1284.5</v>
      </c>
      <c r="I41" s="2">
        <v>0.1</v>
      </c>
      <c r="J41" s="2">
        <v>1</v>
      </c>
      <c r="K41" s="2">
        <v>12922.09</v>
      </c>
      <c r="L41" s="15">
        <f t="shared" si="0"/>
        <v>22077.53</v>
      </c>
    </row>
    <row r="42" spans="1:12" x14ac:dyDescent="0.35">
      <c r="A42" t="s">
        <v>48</v>
      </c>
      <c r="B42" s="2">
        <v>207.26</v>
      </c>
      <c r="C42" s="2">
        <v>8.9700000000000006</v>
      </c>
      <c r="D42" s="2">
        <v>1609.33</v>
      </c>
      <c r="E42" s="2">
        <v>5.27</v>
      </c>
      <c r="F42" s="2">
        <v>0.01</v>
      </c>
      <c r="G42" s="2">
        <v>5.7</v>
      </c>
      <c r="H42" s="2">
        <v>166.3</v>
      </c>
      <c r="I42" s="2">
        <v>0.3</v>
      </c>
      <c r="J42" s="2">
        <v>0.5</v>
      </c>
      <c r="K42" s="2">
        <v>6497.42</v>
      </c>
      <c r="L42" s="15">
        <f t="shared" si="0"/>
        <v>8501.06</v>
      </c>
    </row>
    <row r="43" spans="1:12" x14ac:dyDescent="0.35">
      <c r="A43" t="s">
        <v>49</v>
      </c>
      <c r="B43" s="2">
        <v>1713.55</v>
      </c>
      <c r="C43" s="2">
        <v>24.45</v>
      </c>
      <c r="D43" s="2">
        <v>3455.82</v>
      </c>
      <c r="E43" s="2">
        <v>11.43</v>
      </c>
      <c r="F43" s="2">
        <v>1.23</v>
      </c>
      <c r="G43" s="2">
        <v>0.6</v>
      </c>
      <c r="H43" s="2">
        <v>188.1</v>
      </c>
      <c r="I43" s="2">
        <v>0.2</v>
      </c>
      <c r="J43" s="2">
        <v>0.9</v>
      </c>
      <c r="K43" s="2">
        <v>5847.92</v>
      </c>
      <c r="L43" s="15">
        <f t="shared" si="0"/>
        <v>11244.2</v>
      </c>
    </row>
    <row r="44" spans="1:12" x14ac:dyDescent="0.35">
      <c r="A44" t="s">
        <v>50</v>
      </c>
      <c r="B44" s="2">
        <v>2375.63</v>
      </c>
      <c r="C44" s="2">
        <v>20.46</v>
      </c>
      <c r="D44" s="2">
        <v>7678.67</v>
      </c>
      <c r="E44" s="2">
        <v>5.74</v>
      </c>
      <c r="F44" s="2">
        <v>1.37</v>
      </c>
      <c r="G44" s="2">
        <v>8.3000000000000007</v>
      </c>
      <c r="H44" s="2">
        <v>201.4</v>
      </c>
      <c r="I44" s="2">
        <v>0</v>
      </c>
      <c r="J44" s="2">
        <v>2.8</v>
      </c>
      <c r="K44" s="2">
        <v>30232.05</v>
      </c>
      <c r="L44" s="15">
        <f t="shared" si="0"/>
        <v>40526.42</v>
      </c>
    </row>
    <row r="45" spans="1:12" x14ac:dyDescent="0.35">
      <c r="A45" t="s">
        <v>51</v>
      </c>
      <c r="B45" s="2">
        <v>2214.84</v>
      </c>
      <c r="C45" s="2">
        <v>23.18</v>
      </c>
      <c r="D45" s="2">
        <v>7123.18</v>
      </c>
      <c r="E45" s="2">
        <v>0.75</v>
      </c>
      <c r="F45" s="2">
        <v>1.57</v>
      </c>
      <c r="G45" s="2">
        <v>1.9</v>
      </c>
      <c r="H45" s="2">
        <v>233.7</v>
      </c>
      <c r="I45" s="2">
        <v>0.3</v>
      </c>
      <c r="J45" s="2">
        <v>1.5</v>
      </c>
      <c r="K45" s="2">
        <v>14955.28</v>
      </c>
      <c r="L45" s="15">
        <f t="shared" si="0"/>
        <v>24556.2</v>
      </c>
    </row>
    <row r="46" spans="1:12" x14ac:dyDescent="0.35">
      <c r="A46" t="s">
        <v>52</v>
      </c>
      <c r="B46" s="2">
        <v>1235.8800000000001</v>
      </c>
      <c r="C46" s="2">
        <v>23.95</v>
      </c>
      <c r="D46" s="2">
        <v>2261.6</v>
      </c>
      <c r="E46" s="2">
        <v>0</v>
      </c>
      <c r="F46" s="2">
        <v>0</v>
      </c>
      <c r="G46" s="2">
        <v>0.5</v>
      </c>
      <c r="H46" s="2">
        <v>41.1</v>
      </c>
      <c r="I46" s="2">
        <v>0</v>
      </c>
      <c r="J46" s="2">
        <v>0.3</v>
      </c>
      <c r="K46" s="2">
        <v>8338.39</v>
      </c>
      <c r="L46" s="15">
        <f t="shared" si="0"/>
        <v>11901.72</v>
      </c>
    </row>
    <row r="47" spans="1:12" x14ac:dyDescent="0.35">
      <c r="A47" t="s">
        <v>53</v>
      </c>
      <c r="B47" s="2">
        <v>1471.97</v>
      </c>
      <c r="C47" s="2">
        <v>34.03</v>
      </c>
      <c r="D47" s="2">
        <v>4960.3500000000004</v>
      </c>
      <c r="E47" s="2">
        <v>5.45</v>
      </c>
      <c r="F47" s="2">
        <v>13.48</v>
      </c>
      <c r="G47" s="2">
        <v>0.1</v>
      </c>
      <c r="H47" s="2">
        <v>387.9</v>
      </c>
      <c r="I47" s="2">
        <v>0.7</v>
      </c>
      <c r="J47" s="2">
        <v>1.8</v>
      </c>
      <c r="K47" s="2">
        <v>22859.8</v>
      </c>
      <c r="L47" s="15">
        <f t="shared" si="0"/>
        <v>29735.579999999998</v>
      </c>
    </row>
    <row r="48" spans="1:12" x14ac:dyDescent="0.35">
      <c r="A48" t="s">
        <v>54</v>
      </c>
      <c r="B48" s="2">
        <v>951.27</v>
      </c>
      <c r="C48" s="2">
        <v>23.81</v>
      </c>
      <c r="D48" s="2">
        <v>4723.3599999999997</v>
      </c>
      <c r="E48" s="2">
        <v>23.58</v>
      </c>
      <c r="F48" s="2">
        <v>4.32</v>
      </c>
      <c r="G48" s="2">
        <v>3</v>
      </c>
      <c r="H48" s="2">
        <v>144.5</v>
      </c>
      <c r="I48" s="2">
        <v>0</v>
      </c>
      <c r="J48" s="2">
        <v>2.1</v>
      </c>
      <c r="K48" s="2">
        <v>4123.3500000000004</v>
      </c>
      <c r="L48" s="15">
        <f t="shared" si="0"/>
        <v>9999.2900000000009</v>
      </c>
    </row>
    <row r="49" spans="1:12" x14ac:dyDescent="0.35">
      <c r="A49" t="s">
        <v>55</v>
      </c>
      <c r="B49" s="2">
        <v>1825.86</v>
      </c>
      <c r="C49" s="2">
        <v>29.79</v>
      </c>
      <c r="D49" s="2">
        <v>4955.51</v>
      </c>
      <c r="E49" s="2">
        <v>0.21</v>
      </c>
      <c r="F49" s="2">
        <v>0.08</v>
      </c>
      <c r="G49" s="2">
        <v>3.1</v>
      </c>
      <c r="H49" s="2">
        <v>419.7</v>
      </c>
      <c r="I49" s="2">
        <v>0</v>
      </c>
      <c r="J49" s="2">
        <v>1.5</v>
      </c>
      <c r="K49" s="2">
        <v>17420.580000000002</v>
      </c>
      <c r="L49" s="15">
        <f t="shared" si="0"/>
        <v>24656.33</v>
      </c>
    </row>
    <row r="50" spans="1:12" x14ac:dyDescent="0.35">
      <c r="A50" t="s">
        <v>56</v>
      </c>
      <c r="B50" s="2">
        <v>5699.94</v>
      </c>
      <c r="C50" s="2">
        <v>45.47</v>
      </c>
      <c r="D50" s="2">
        <v>6043.43</v>
      </c>
      <c r="E50" s="2">
        <v>19.71</v>
      </c>
      <c r="F50" s="2">
        <v>2.87</v>
      </c>
      <c r="G50" s="2">
        <v>3.5</v>
      </c>
      <c r="H50" s="2">
        <v>142.69999999999999</v>
      </c>
      <c r="I50" s="2">
        <v>0.1</v>
      </c>
      <c r="J50" s="2">
        <v>1.2</v>
      </c>
      <c r="K50" s="2">
        <v>41028.879999999997</v>
      </c>
      <c r="L50" s="15">
        <f t="shared" si="0"/>
        <v>52987.8</v>
      </c>
    </row>
    <row r="51" spans="1:12" x14ac:dyDescent="0.35">
      <c r="A51" t="s">
        <v>57</v>
      </c>
      <c r="B51" s="2">
        <v>1205.52</v>
      </c>
      <c r="C51" s="2">
        <v>16.37</v>
      </c>
      <c r="D51" s="2">
        <v>3962.35</v>
      </c>
      <c r="E51" s="2">
        <v>5.28</v>
      </c>
      <c r="F51" s="2">
        <v>0.36</v>
      </c>
      <c r="G51" s="2">
        <v>0.8</v>
      </c>
      <c r="H51" s="2">
        <v>83.9</v>
      </c>
      <c r="I51" s="2">
        <v>0</v>
      </c>
      <c r="J51" s="2">
        <v>1.2</v>
      </c>
      <c r="K51" s="2">
        <v>10768.16</v>
      </c>
      <c r="L51" s="15">
        <f t="shared" si="0"/>
        <v>16043.939999999999</v>
      </c>
    </row>
    <row r="52" spans="1:12" x14ac:dyDescent="0.35">
      <c r="A52" t="s">
        <v>58</v>
      </c>
      <c r="B52" s="2">
        <v>446.76</v>
      </c>
      <c r="C52" s="2">
        <v>3.88</v>
      </c>
      <c r="D52" s="2">
        <v>1829.97</v>
      </c>
      <c r="E52" s="2">
        <v>7.8</v>
      </c>
      <c r="F52" s="2">
        <v>0</v>
      </c>
      <c r="G52" s="2">
        <v>0.7</v>
      </c>
      <c r="H52" s="2">
        <v>27.9</v>
      </c>
      <c r="I52" s="2">
        <v>0</v>
      </c>
      <c r="J52" s="2">
        <v>0.1</v>
      </c>
      <c r="K52" s="2">
        <v>1830.54</v>
      </c>
      <c r="L52" s="15">
        <f t="shared" si="0"/>
        <v>4147.6499999999996</v>
      </c>
    </row>
    <row r="53" spans="1:12" x14ac:dyDescent="0.35">
      <c r="A53" t="s">
        <v>59</v>
      </c>
      <c r="B53" s="2">
        <v>2591.4899999999998</v>
      </c>
      <c r="C53" s="2">
        <v>19.579999999999998</v>
      </c>
      <c r="D53" s="2">
        <v>3923.89</v>
      </c>
      <c r="E53" s="2">
        <v>0.05</v>
      </c>
      <c r="F53" s="2">
        <v>0.22</v>
      </c>
      <c r="G53" s="2">
        <v>1</v>
      </c>
      <c r="H53" s="2">
        <v>46.3</v>
      </c>
      <c r="I53" s="2">
        <v>0</v>
      </c>
      <c r="J53" s="2">
        <v>0.9</v>
      </c>
      <c r="K53" s="2">
        <v>12228.82</v>
      </c>
      <c r="L53" s="15">
        <f t="shared" si="0"/>
        <v>18812.25</v>
      </c>
    </row>
    <row r="54" spans="1:12" x14ac:dyDescent="0.35">
      <c r="A54" t="s">
        <v>60</v>
      </c>
      <c r="B54" s="2">
        <v>871.8</v>
      </c>
      <c r="C54" s="2">
        <v>6.7</v>
      </c>
      <c r="D54" s="2">
        <v>3183.09</v>
      </c>
      <c r="E54" s="2">
        <v>5.72</v>
      </c>
      <c r="F54" s="2">
        <v>0.09</v>
      </c>
      <c r="G54" s="2">
        <v>133.30000000000001</v>
      </c>
      <c r="H54" s="2">
        <v>289.89999999999998</v>
      </c>
      <c r="I54" s="2">
        <v>0</v>
      </c>
      <c r="J54" s="2">
        <v>3.8</v>
      </c>
      <c r="K54" s="2">
        <v>12858.3</v>
      </c>
      <c r="L54" s="15">
        <f t="shared" si="0"/>
        <v>17352.699999999997</v>
      </c>
    </row>
    <row r="55" spans="1:12" x14ac:dyDescent="0.35">
      <c r="A55" t="s">
        <v>61</v>
      </c>
      <c r="B55" s="2">
        <v>703.24</v>
      </c>
      <c r="C55" s="2">
        <v>8.93</v>
      </c>
      <c r="D55" s="2">
        <v>1828.79</v>
      </c>
      <c r="E55" s="2">
        <v>1.3</v>
      </c>
      <c r="F55" s="2">
        <v>0.05</v>
      </c>
      <c r="G55" s="2">
        <v>1.1000000000000001</v>
      </c>
      <c r="H55" s="2">
        <v>152.69999999999999</v>
      </c>
      <c r="I55" s="2">
        <v>0</v>
      </c>
      <c r="J55" s="2">
        <v>0.4</v>
      </c>
      <c r="K55" s="2">
        <v>3512.36</v>
      </c>
      <c r="L55" s="15">
        <f t="shared" si="0"/>
        <v>6208.8700000000008</v>
      </c>
    </row>
    <row r="56" spans="1:12" x14ac:dyDescent="0.35">
      <c r="A56" t="s">
        <v>62</v>
      </c>
      <c r="B56" s="2">
        <v>4162.41</v>
      </c>
      <c r="C56" s="2">
        <v>38.64</v>
      </c>
      <c r="D56" s="2">
        <v>11395.27</v>
      </c>
      <c r="E56" s="2">
        <v>64.94</v>
      </c>
      <c r="F56" s="2">
        <v>1.04</v>
      </c>
      <c r="G56" s="2">
        <v>32.799999999999997</v>
      </c>
      <c r="H56" s="2">
        <v>207</v>
      </c>
      <c r="I56" s="2">
        <v>0</v>
      </c>
      <c r="J56" s="2">
        <v>4.3</v>
      </c>
      <c r="K56" s="2">
        <v>70223.240000000005</v>
      </c>
      <c r="L56" s="15">
        <f t="shared" si="0"/>
        <v>86129.64</v>
      </c>
    </row>
    <row r="57" spans="1:12" x14ac:dyDescent="0.35">
      <c r="A57" t="s">
        <v>96</v>
      </c>
      <c r="B57" s="2">
        <v>4014.48</v>
      </c>
      <c r="C57" s="2">
        <v>67.819999999999993</v>
      </c>
      <c r="D57" s="2">
        <v>12903.73</v>
      </c>
      <c r="E57" s="2">
        <v>2.81</v>
      </c>
      <c r="F57" s="2">
        <v>1.73</v>
      </c>
      <c r="G57" s="2">
        <v>3.1</v>
      </c>
      <c r="H57" s="2">
        <v>973.4</v>
      </c>
      <c r="I57" s="2">
        <v>0.3</v>
      </c>
      <c r="J57" s="2">
        <v>4.4000000000000004</v>
      </c>
      <c r="K57" s="2">
        <v>39247.29</v>
      </c>
      <c r="L57" s="15">
        <f t="shared" si="0"/>
        <v>57219.06</v>
      </c>
    </row>
    <row r="58" spans="1:12" x14ac:dyDescent="0.35">
      <c r="A58" t="s">
        <v>64</v>
      </c>
      <c r="B58" s="2">
        <v>874.23</v>
      </c>
      <c r="C58" s="2">
        <v>10.09</v>
      </c>
      <c r="D58" s="2">
        <v>4328.45</v>
      </c>
      <c r="E58" s="2">
        <v>4.6100000000000003</v>
      </c>
      <c r="F58" s="2">
        <v>1.93</v>
      </c>
      <c r="G58" s="2">
        <v>1.2</v>
      </c>
      <c r="H58" s="2">
        <v>182</v>
      </c>
      <c r="I58" s="2">
        <v>0</v>
      </c>
      <c r="J58" s="2">
        <v>0.4</v>
      </c>
      <c r="K58" s="2">
        <v>6159.14</v>
      </c>
      <c r="L58" s="15">
        <f t="shared" si="0"/>
        <v>11562.05</v>
      </c>
    </row>
    <row r="59" spans="1:12" x14ac:dyDescent="0.35">
      <c r="A59" t="s">
        <v>65</v>
      </c>
      <c r="B59" s="2">
        <v>5712.57</v>
      </c>
      <c r="C59" s="2">
        <v>30.99</v>
      </c>
      <c r="D59" s="2">
        <v>7357.35</v>
      </c>
      <c r="E59" s="2">
        <v>41.39</v>
      </c>
      <c r="F59" s="2">
        <v>0.85</v>
      </c>
      <c r="G59" s="2">
        <v>2.1</v>
      </c>
      <c r="H59" s="2">
        <v>250.3</v>
      </c>
      <c r="I59" s="2">
        <v>0</v>
      </c>
      <c r="J59" s="2">
        <v>5.6</v>
      </c>
      <c r="K59" s="2">
        <v>21048.3</v>
      </c>
      <c r="L59" s="15">
        <f t="shared" si="0"/>
        <v>34449.449999999997</v>
      </c>
    </row>
    <row r="60" spans="1:12" x14ac:dyDescent="0.35">
      <c r="A60" t="s">
        <v>66</v>
      </c>
      <c r="B60" s="2">
        <v>869.92</v>
      </c>
      <c r="C60" s="2">
        <v>23.09</v>
      </c>
      <c r="D60" s="2">
        <v>4796.72</v>
      </c>
      <c r="E60" s="2">
        <v>4.0999999999999996</v>
      </c>
      <c r="F60" s="2">
        <v>0.88</v>
      </c>
      <c r="G60" s="2">
        <v>0.6</v>
      </c>
      <c r="H60" s="2">
        <v>163.9</v>
      </c>
      <c r="I60" s="2">
        <v>0.1</v>
      </c>
      <c r="J60" s="2">
        <v>3.4</v>
      </c>
      <c r="K60" s="2">
        <v>10547.89</v>
      </c>
      <c r="L60" s="15">
        <f t="shared" si="0"/>
        <v>16410.599999999999</v>
      </c>
    </row>
    <row r="61" spans="1:12" x14ac:dyDescent="0.35">
      <c r="A61" t="s">
        <v>67</v>
      </c>
      <c r="B61" s="2">
        <v>861.4</v>
      </c>
      <c r="C61" s="2">
        <v>14.46</v>
      </c>
      <c r="D61" s="2">
        <v>3793.49</v>
      </c>
      <c r="E61" s="2">
        <v>10.039999999999999</v>
      </c>
      <c r="F61" s="2">
        <v>0.39</v>
      </c>
      <c r="G61" s="2">
        <v>0.9</v>
      </c>
      <c r="H61" s="2">
        <v>108</v>
      </c>
      <c r="I61" s="2">
        <v>0.1</v>
      </c>
      <c r="J61" s="2">
        <v>0.5</v>
      </c>
      <c r="K61" s="2">
        <v>9769.18</v>
      </c>
      <c r="L61" s="15">
        <f t="shared" si="0"/>
        <v>14558.46</v>
      </c>
    </row>
    <row r="62" spans="1:12" x14ac:dyDescent="0.35">
      <c r="A62" t="s">
        <v>68</v>
      </c>
      <c r="B62" s="2">
        <v>4789.5</v>
      </c>
      <c r="C62" s="2">
        <v>28.4</v>
      </c>
      <c r="D62" s="2">
        <v>6050.14</v>
      </c>
      <c r="E62" s="2">
        <v>6.27</v>
      </c>
      <c r="F62" s="2">
        <v>1.57</v>
      </c>
      <c r="G62" s="2">
        <v>3.5</v>
      </c>
      <c r="H62" s="2">
        <v>130.80000000000001</v>
      </c>
      <c r="I62" s="2">
        <v>0</v>
      </c>
      <c r="J62" s="2">
        <v>1.8</v>
      </c>
      <c r="K62" s="2">
        <v>16711.310000000001</v>
      </c>
      <c r="L62" s="15">
        <f t="shared" si="0"/>
        <v>27723.29</v>
      </c>
    </row>
    <row r="63" spans="1:12" x14ac:dyDescent="0.35">
      <c r="A63" s="14" t="s">
        <v>69</v>
      </c>
      <c r="B63" s="7">
        <f>SUM(B2:B62)</f>
        <v>113185.14000000003</v>
      </c>
      <c r="C63" s="7">
        <f>SUM(C2:C62)</f>
        <v>1458.01</v>
      </c>
      <c r="D63" s="7">
        <f t="shared" ref="D63:K63" si="1">SUM(D2:D62)</f>
        <v>308685.08999999997</v>
      </c>
      <c r="E63" s="7">
        <f t="shared" si="1"/>
        <v>575.81999999999982</v>
      </c>
      <c r="F63" s="7">
        <f t="shared" si="1"/>
        <v>90.35</v>
      </c>
      <c r="G63" s="7">
        <f t="shared" si="1"/>
        <v>418.50000000000006</v>
      </c>
      <c r="H63" s="7">
        <f t="shared" si="1"/>
        <v>15678.199999999997</v>
      </c>
      <c r="I63" s="7">
        <f t="shared" si="1"/>
        <v>6.7999999999999989</v>
      </c>
      <c r="J63" s="7">
        <f t="shared" si="1"/>
        <v>118.90000000000002</v>
      </c>
      <c r="K63" s="7">
        <f t="shared" si="1"/>
        <v>909172.90000000049</v>
      </c>
      <c r="L63" s="15">
        <f>SUM($L$2:L62)</f>
        <v>1349389.71</v>
      </c>
    </row>
    <row r="64" spans="1:12" x14ac:dyDescent="0.35">
      <c r="L64" s="15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8382-796A-4A9D-940B-AD111F24D23B}">
  <dimension ref="A1:Z64"/>
  <sheetViews>
    <sheetView tabSelected="1" topLeftCell="M45" workbookViewId="0">
      <selection activeCell="U57" sqref="U57"/>
    </sheetView>
  </sheetViews>
  <sheetFormatPr defaultRowHeight="14.5" x14ac:dyDescent="0.35"/>
  <cols>
    <col min="1" max="1" width="17.81640625" style="9" bestFit="1" customWidth="1"/>
    <col min="2" max="2" width="9.453125" bestFit="1" customWidth="1"/>
    <col min="3" max="4" width="10.453125" bestFit="1" customWidth="1"/>
    <col min="5" max="19" width="11.453125" bestFit="1" customWidth="1"/>
    <col min="20" max="22" width="13" bestFit="1" customWidth="1"/>
    <col min="23" max="23" width="14.6328125" bestFit="1" customWidth="1"/>
    <col min="24" max="24" width="13.1796875" style="19" bestFit="1" customWidth="1"/>
    <col min="25" max="25" width="9.453125" bestFit="1" customWidth="1"/>
    <col min="26" max="26" width="7.1796875" bestFit="1" customWidth="1"/>
  </cols>
  <sheetData>
    <row r="1" spans="1:26" s="8" customFormat="1" x14ac:dyDescent="0.35">
      <c r="A1" s="8" t="s">
        <v>0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10" t="s">
        <v>79</v>
      </c>
      <c r="L1" s="10" t="s">
        <v>80</v>
      </c>
      <c r="M1" s="10" t="s">
        <v>81</v>
      </c>
      <c r="N1" s="10" t="s">
        <v>70</v>
      </c>
      <c r="O1" s="10" t="s">
        <v>71</v>
      </c>
      <c r="P1" s="10" t="s">
        <v>72</v>
      </c>
      <c r="Q1" s="10" t="s">
        <v>82</v>
      </c>
      <c r="R1" s="10" t="s">
        <v>74</v>
      </c>
      <c r="S1" s="10" t="s">
        <v>83</v>
      </c>
      <c r="T1" s="10" t="s">
        <v>84</v>
      </c>
      <c r="U1" s="10" t="s">
        <v>85</v>
      </c>
      <c r="V1" s="10" t="s">
        <v>86</v>
      </c>
      <c r="W1" s="10" t="s">
        <v>87</v>
      </c>
      <c r="X1" s="10" t="s">
        <v>88</v>
      </c>
      <c r="Y1" s="10" t="s">
        <v>89</v>
      </c>
      <c r="Z1" s="10" t="s">
        <v>90</v>
      </c>
    </row>
    <row r="2" spans="1:26" x14ac:dyDescent="0.35">
      <c r="A2" s="8" t="s">
        <v>11</v>
      </c>
      <c r="B2" s="2">
        <f>mar_24!L2</f>
        <v>0</v>
      </c>
      <c r="C2" s="2">
        <f>apr_24!L2</f>
        <v>0</v>
      </c>
      <c r="D2" s="2">
        <f>may_24!$L2</f>
        <v>0</v>
      </c>
      <c r="E2" s="2">
        <f>jun_24!$L2</f>
        <v>0</v>
      </c>
      <c r="F2" s="2">
        <f>jul_24!$L2</f>
        <v>0</v>
      </c>
      <c r="G2" s="2">
        <f>aug_24!$L2</f>
        <v>0</v>
      </c>
      <c r="H2" s="2">
        <f>sep_24!$L2</f>
        <v>0</v>
      </c>
      <c r="I2" s="2">
        <f>oct_24!$L2</f>
        <v>0</v>
      </c>
      <c r="J2" s="2">
        <f>nov_24!$L2</f>
        <v>0</v>
      </c>
      <c r="K2" s="2">
        <f>dec_24!$L2</f>
        <v>7700.9400000000005</v>
      </c>
      <c r="L2" s="2">
        <f>jan_25!$L2</f>
        <v>17159.400000000001</v>
      </c>
      <c r="M2" s="2">
        <f>feb_25!$L2</f>
        <v>11634.59</v>
      </c>
      <c r="N2" s="2">
        <f>mar_25!$L2</f>
        <v>12540.3</v>
      </c>
      <c r="O2" s="2">
        <f>apr_25!$L2</f>
        <v>12323.66</v>
      </c>
      <c r="P2" s="2">
        <f>may_25!$L2</f>
        <v>17235.699999999997</v>
      </c>
      <c r="Q2" s="2">
        <f>jun_25!$L2</f>
        <v>16092.68</v>
      </c>
      <c r="R2" s="2">
        <f>jul_25!$L2</f>
        <v>10632.5</v>
      </c>
      <c r="S2" s="2">
        <f>aug_25!$L2</f>
        <v>18020.71</v>
      </c>
      <c r="T2" s="2">
        <f>sep_25!$L2</f>
        <v>15933.090000000002</v>
      </c>
      <c r="U2" s="2">
        <f>oct_25!$L2</f>
        <v>25300.13</v>
      </c>
      <c r="V2" s="2">
        <f>nov_25!$L2</f>
        <v>26362.809999999998</v>
      </c>
      <c r="W2" s="17">
        <f>dec_25!L2</f>
        <v>24178.809999999998</v>
      </c>
      <c r="X2" s="18">
        <f>jan_26!L2</f>
        <v>17842.79</v>
      </c>
    </row>
    <row r="3" spans="1:26" x14ac:dyDescent="0.35">
      <c r="A3" s="8" t="s">
        <v>12</v>
      </c>
      <c r="B3" s="2">
        <f>mar_24!L3</f>
        <v>0</v>
      </c>
      <c r="C3" s="2">
        <f>apr_24!L3</f>
        <v>0</v>
      </c>
      <c r="D3" s="2">
        <f>may_24!$L3</f>
        <v>0</v>
      </c>
      <c r="E3" s="2">
        <f>jun_24!$L3</f>
        <v>0</v>
      </c>
      <c r="F3" s="2">
        <f>jul_24!$L3</f>
        <v>0</v>
      </c>
      <c r="G3" s="2">
        <f>aug_24!$L3</f>
        <v>0</v>
      </c>
      <c r="H3" s="2">
        <f>sep_24!$L3</f>
        <v>382.47</v>
      </c>
      <c r="I3" s="2">
        <f>oct_24!$L3</f>
        <v>4011.36</v>
      </c>
      <c r="J3" s="2">
        <f>nov_24!$L3</f>
        <v>3232.69</v>
      </c>
      <c r="K3" s="2">
        <f>dec_24!$L3</f>
        <v>4237.17</v>
      </c>
      <c r="L3" s="2">
        <f>jan_25!$L3</f>
        <v>4949.9499999999989</v>
      </c>
      <c r="M3" s="2">
        <f>feb_25!$L3</f>
        <v>2844.17</v>
      </c>
      <c r="N3" s="2">
        <f>mar_25!$L3</f>
        <v>2425.38</v>
      </c>
      <c r="O3" s="2">
        <f>apr_25!$L3</f>
        <v>2541.4399999999996</v>
      </c>
      <c r="P3" s="2">
        <f>may_25!$L3</f>
        <v>3959.7</v>
      </c>
      <c r="Q3" s="2">
        <f>jun_25!$L3</f>
        <v>4105.5600000000004</v>
      </c>
      <c r="R3" s="2">
        <f>jul_25!$L3</f>
        <v>5859.65</v>
      </c>
      <c r="S3" s="2">
        <f>aug_25!$L3</f>
        <v>4727.17</v>
      </c>
      <c r="T3" s="2">
        <f>sep_25!$L3</f>
        <v>3284.9299999999994</v>
      </c>
      <c r="U3" s="2">
        <f>oct_25!$L3</f>
        <v>4859.1500000000005</v>
      </c>
      <c r="V3" s="2">
        <f>nov_25!$L3</f>
        <v>7968.52</v>
      </c>
      <c r="W3" s="17">
        <f>dec_25!L3</f>
        <v>10031.210000000001</v>
      </c>
      <c r="X3" s="18">
        <f>jan_26!L3</f>
        <v>10478.5</v>
      </c>
    </row>
    <row r="4" spans="1:26" x14ac:dyDescent="0.35">
      <c r="A4" s="8" t="s">
        <v>13</v>
      </c>
      <c r="B4" s="2">
        <f>mar_24!L4</f>
        <v>0</v>
      </c>
      <c r="C4" s="2">
        <f>apr_24!L4</f>
        <v>0</v>
      </c>
      <c r="D4" s="2">
        <f>may_24!$L4</f>
        <v>0</v>
      </c>
      <c r="E4" s="2">
        <f>jun_24!$L4</f>
        <v>0</v>
      </c>
      <c r="F4" s="2">
        <f>jul_24!$L4</f>
        <v>0</v>
      </c>
      <c r="G4" s="2">
        <f>aug_24!$L4</f>
        <v>0</v>
      </c>
      <c r="H4" s="2">
        <f>sep_24!$L4</f>
        <v>0</v>
      </c>
      <c r="I4" s="2">
        <f>oct_24!$L4</f>
        <v>0</v>
      </c>
      <c r="J4" s="2">
        <f>nov_24!$L4</f>
        <v>0</v>
      </c>
      <c r="K4" s="2">
        <f>dec_24!$L4</f>
        <v>0</v>
      </c>
      <c r="L4" s="2">
        <f>jan_25!$L4</f>
        <v>0</v>
      </c>
      <c r="M4" s="2">
        <f>feb_25!$L4</f>
        <v>0</v>
      </c>
      <c r="N4" s="2">
        <f>mar_25!$L4</f>
        <v>0</v>
      </c>
      <c r="O4" s="2">
        <f>apr_25!$L4</f>
        <v>0</v>
      </c>
      <c r="P4" s="2">
        <f>may_25!$L4</f>
        <v>0</v>
      </c>
      <c r="Q4" s="2">
        <f>jun_25!$L4</f>
        <v>0</v>
      </c>
      <c r="R4" s="2">
        <f>jul_25!$L4</f>
        <v>0</v>
      </c>
      <c r="S4" s="2">
        <f>aug_25!$L4</f>
        <v>0</v>
      </c>
      <c r="T4" s="2">
        <f>sep_25!$L4</f>
        <v>0</v>
      </c>
      <c r="U4" s="2">
        <f>oct_25!$L4</f>
        <v>3539.7999999999997</v>
      </c>
      <c r="V4" s="2">
        <f>nov_25!$L4</f>
        <v>13378.43</v>
      </c>
      <c r="W4" s="17">
        <f>dec_25!L4</f>
        <v>13279.439999999999</v>
      </c>
      <c r="X4" s="18">
        <f>jan_26!L4</f>
        <v>10931.98</v>
      </c>
    </row>
    <row r="5" spans="1:26" x14ac:dyDescent="0.35">
      <c r="A5" s="8" t="s">
        <v>14</v>
      </c>
      <c r="B5" s="2">
        <f>mar_24!L5</f>
        <v>0</v>
      </c>
      <c r="C5" s="2">
        <f>apr_24!L5</f>
        <v>0</v>
      </c>
      <c r="D5" s="2">
        <f>may_24!$L5</f>
        <v>0</v>
      </c>
      <c r="E5" s="2">
        <f>jun_24!$L5</f>
        <v>0</v>
      </c>
      <c r="F5" s="2">
        <f>jul_24!$L5</f>
        <v>0</v>
      </c>
      <c r="G5" s="2">
        <f>aug_24!$L5</f>
        <v>0</v>
      </c>
      <c r="H5" s="2">
        <f>sep_24!$L5</f>
        <v>0</v>
      </c>
      <c r="I5" s="2">
        <f>oct_24!$L5</f>
        <v>0</v>
      </c>
      <c r="J5" s="2">
        <f>nov_24!$L5</f>
        <v>0</v>
      </c>
      <c r="K5" s="2">
        <f>dec_24!$L5</f>
        <v>0</v>
      </c>
      <c r="L5" s="2">
        <f>jan_25!$L5</f>
        <v>0</v>
      </c>
      <c r="M5" s="2">
        <f>feb_25!$L5</f>
        <v>0</v>
      </c>
      <c r="N5" s="2">
        <f>mar_25!$L5</f>
        <v>0</v>
      </c>
      <c r="O5" s="2">
        <f>apr_25!$L5</f>
        <v>0</v>
      </c>
      <c r="P5" s="2">
        <f>may_25!$L5</f>
        <v>0</v>
      </c>
      <c r="Q5" s="2">
        <f>jun_25!$L5</f>
        <v>0</v>
      </c>
      <c r="R5" s="2">
        <f>jul_25!$L5</f>
        <v>0</v>
      </c>
      <c r="S5" s="2">
        <f>aug_25!$L5</f>
        <v>0</v>
      </c>
      <c r="T5" s="2">
        <f>sep_25!$L5</f>
        <v>202.67</v>
      </c>
      <c r="U5" s="2">
        <f>oct_25!$L5</f>
        <v>8785.18</v>
      </c>
      <c r="V5" s="2">
        <f>nov_25!$L5</f>
        <v>11742.74</v>
      </c>
      <c r="W5" s="17">
        <f>dec_25!L5</f>
        <v>14304.39</v>
      </c>
      <c r="X5" s="18">
        <f>jan_26!L5</f>
        <v>11057.79</v>
      </c>
    </row>
    <row r="6" spans="1:26" x14ac:dyDescent="0.35">
      <c r="A6" s="8" t="s">
        <v>15</v>
      </c>
      <c r="B6" s="2">
        <f>mar_24!L6</f>
        <v>0</v>
      </c>
      <c r="C6" s="2">
        <f>apr_24!L6</f>
        <v>0</v>
      </c>
      <c r="D6" s="2">
        <f>may_24!$L6</f>
        <v>0</v>
      </c>
      <c r="E6" s="2">
        <f>jun_24!$L6</f>
        <v>0</v>
      </c>
      <c r="F6" s="2">
        <f>jul_24!$L6</f>
        <v>0</v>
      </c>
      <c r="G6" s="2">
        <f>aug_24!$L6</f>
        <v>0</v>
      </c>
      <c r="H6" s="2">
        <f>sep_24!$L6</f>
        <v>0</v>
      </c>
      <c r="I6" s="2">
        <f>oct_24!$L6</f>
        <v>0</v>
      </c>
      <c r="J6" s="2">
        <f>nov_24!$L6</f>
        <v>0</v>
      </c>
      <c r="K6" s="2">
        <f>dec_24!$L6</f>
        <v>7134.51</v>
      </c>
      <c r="L6" s="2">
        <f>jan_25!$L6</f>
        <v>20769.729999999996</v>
      </c>
      <c r="M6" s="2">
        <f>feb_25!$L6</f>
        <v>12040.1</v>
      </c>
      <c r="N6" s="2">
        <f>mar_25!$L6</f>
        <v>13277.899999999998</v>
      </c>
      <c r="O6" s="2">
        <f>apr_25!$L6</f>
        <v>14282.369999999999</v>
      </c>
      <c r="P6" s="2">
        <f>may_25!$L6</f>
        <v>17733.300000000003</v>
      </c>
      <c r="Q6" s="2">
        <f>jun_25!$L6</f>
        <v>17415.93</v>
      </c>
      <c r="R6" s="2">
        <f>jul_25!$L6</f>
        <v>19644.189999999999</v>
      </c>
      <c r="S6" s="2">
        <f>aug_25!$L6</f>
        <v>21061.9</v>
      </c>
      <c r="T6" s="2">
        <f>sep_25!$L6</f>
        <v>20230.099999999999</v>
      </c>
      <c r="U6" s="2">
        <f>oct_25!$L6</f>
        <v>27930.89</v>
      </c>
      <c r="V6" s="2">
        <f>nov_25!$L6</f>
        <v>26580.28</v>
      </c>
      <c r="W6" s="17">
        <f>dec_25!L6</f>
        <v>31566.57</v>
      </c>
      <c r="X6" s="18">
        <f>jan_26!L6</f>
        <v>28209.68</v>
      </c>
    </row>
    <row r="7" spans="1:26" x14ac:dyDescent="0.35">
      <c r="A7" s="8" t="s">
        <v>16</v>
      </c>
      <c r="B7" s="2">
        <f>mar_24!L7</f>
        <v>0</v>
      </c>
      <c r="C7" s="2">
        <f>apr_24!L7</f>
        <v>0</v>
      </c>
      <c r="D7" s="2">
        <f>may_24!$L7</f>
        <v>0</v>
      </c>
      <c r="E7" s="2">
        <f>jun_24!$L7</f>
        <v>0</v>
      </c>
      <c r="F7" s="2">
        <f>jul_24!$L7</f>
        <v>0</v>
      </c>
      <c r="G7" s="2">
        <f>aug_24!$L7</f>
        <v>0</v>
      </c>
      <c r="H7" s="2">
        <f>sep_24!$L7</f>
        <v>0</v>
      </c>
      <c r="I7" s="2">
        <f>oct_24!$L7</f>
        <v>0</v>
      </c>
      <c r="J7" s="2">
        <f>nov_24!$L7</f>
        <v>0</v>
      </c>
      <c r="K7" s="2">
        <f>dec_24!$L7</f>
        <v>3712.05</v>
      </c>
      <c r="L7" s="2">
        <f>jan_25!$L7</f>
        <v>8250.630000000001</v>
      </c>
      <c r="M7" s="2">
        <f>feb_25!$L7</f>
        <v>7575.11</v>
      </c>
      <c r="N7" s="2">
        <f>mar_25!$L7</f>
        <v>9013.74</v>
      </c>
      <c r="O7" s="2">
        <f>apr_25!$L7</f>
        <v>7328.4400000000005</v>
      </c>
      <c r="P7" s="2">
        <f>may_25!$L7</f>
        <v>7844.73</v>
      </c>
      <c r="Q7" s="2">
        <f>jun_25!$L7</f>
        <v>8122.5899999999992</v>
      </c>
      <c r="R7" s="2">
        <f>jul_25!$L7</f>
        <v>9942.93</v>
      </c>
      <c r="S7" s="2">
        <f>aug_25!$L7</f>
        <v>12670.260000000002</v>
      </c>
      <c r="T7" s="2">
        <f>sep_25!$L7</f>
        <v>14278</v>
      </c>
      <c r="U7" s="2">
        <f>oct_25!$L7</f>
        <v>19316.060000000001</v>
      </c>
      <c r="V7" s="2">
        <f>nov_25!$L7</f>
        <v>20984.48</v>
      </c>
      <c r="W7" s="17">
        <f>dec_25!L7</f>
        <v>20047.169999999998</v>
      </c>
      <c r="X7" s="18">
        <f>jan_26!L7</f>
        <v>21990.74</v>
      </c>
    </row>
    <row r="8" spans="1:26" x14ac:dyDescent="0.35">
      <c r="A8" s="8" t="s">
        <v>17</v>
      </c>
      <c r="B8" s="2">
        <f>mar_24!L8</f>
        <v>0</v>
      </c>
      <c r="C8" s="2">
        <f>apr_24!L8</f>
        <v>0</v>
      </c>
      <c r="D8" s="2">
        <f>may_24!$L8</f>
        <v>0</v>
      </c>
      <c r="E8" s="2">
        <f>jun_24!$L8</f>
        <v>0</v>
      </c>
      <c r="F8" s="2">
        <f>jul_24!$L8</f>
        <v>0</v>
      </c>
      <c r="G8" s="2">
        <f>aug_24!$L8</f>
        <v>0</v>
      </c>
      <c r="H8" s="2">
        <f>sep_24!$L8</f>
        <v>0</v>
      </c>
      <c r="I8" s="2">
        <f>oct_24!$L8</f>
        <v>0</v>
      </c>
      <c r="J8" s="2">
        <f>nov_24!$L8</f>
        <v>0</v>
      </c>
      <c r="K8" s="2">
        <f>dec_24!$L8</f>
        <v>6174.17</v>
      </c>
      <c r="L8" s="2">
        <f>jan_25!$L8</f>
        <v>18401.309999999998</v>
      </c>
      <c r="M8" s="2">
        <f>feb_25!$L8</f>
        <v>13610.059999999998</v>
      </c>
      <c r="N8" s="2">
        <f>mar_25!$L8</f>
        <v>16960.25</v>
      </c>
      <c r="O8" s="2">
        <f>apr_25!$L8</f>
        <v>15903.079999999998</v>
      </c>
      <c r="P8" s="2">
        <f>may_25!$L8</f>
        <v>13268.36</v>
      </c>
      <c r="Q8" s="2">
        <f>jun_25!$L8</f>
        <v>15967.249999999998</v>
      </c>
      <c r="R8" s="2">
        <f>jul_25!$L8</f>
        <v>14953.710000000001</v>
      </c>
      <c r="S8" s="2">
        <f>aug_25!$L8</f>
        <v>15134.69</v>
      </c>
      <c r="T8" s="2">
        <f>sep_25!$L8</f>
        <v>15338.410000000002</v>
      </c>
      <c r="U8" s="2">
        <f>oct_25!$L8</f>
        <v>20830.059999999998</v>
      </c>
      <c r="V8" s="2">
        <f>nov_25!$L8</f>
        <v>20118.88</v>
      </c>
      <c r="W8" s="17">
        <f>dec_25!L8</f>
        <v>21984.639999999999</v>
      </c>
      <c r="X8" s="18">
        <f>jan_26!L8</f>
        <v>19611.21</v>
      </c>
    </row>
    <row r="9" spans="1:26" x14ac:dyDescent="0.35">
      <c r="A9" s="8" t="s">
        <v>18</v>
      </c>
      <c r="B9" s="2">
        <f>mar_24!L9</f>
        <v>0</v>
      </c>
      <c r="C9" s="2">
        <f>apr_24!L9</f>
        <v>0</v>
      </c>
      <c r="D9" s="2">
        <f>may_24!$L9</f>
        <v>0</v>
      </c>
      <c r="E9" s="2">
        <f>jun_24!$L9</f>
        <v>0</v>
      </c>
      <c r="F9" s="2">
        <f>jul_24!$L9</f>
        <v>0</v>
      </c>
      <c r="G9" s="2">
        <f>aug_24!$L9</f>
        <v>0</v>
      </c>
      <c r="H9" s="2">
        <f>sep_24!$L9</f>
        <v>13145.3</v>
      </c>
      <c r="I9" s="2">
        <f>oct_24!$L9</f>
        <v>14586.579999999998</v>
      </c>
      <c r="J9" s="2">
        <f>nov_24!$L9</f>
        <v>15673.44</v>
      </c>
      <c r="K9" s="2">
        <f>dec_24!$L9</f>
        <v>16909.63</v>
      </c>
      <c r="L9" s="2">
        <f>jan_25!$L9</f>
        <v>16661.059999999998</v>
      </c>
      <c r="M9" s="2">
        <f>feb_25!$L9</f>
        <v>14458.270000000002</v>
      </c>
      <c r="N9" s="2">
        <f>mar_25!$L9</f>
        <v>16929.89</v>
      </c>
      <c r="O9" s="2">
        <f>apr_25!$L9</f>
        <v>18083.990000000002</v>
      </c>
      <c r="P9" s="2">
        <f>may_25!$L9</f>
        <v>22299.710000000003</v>
      </c>
      <c r="Q9" s="2">
        <f>jun_25!$L9</f>
        <v>18257.070000000003</v>
      </c>
      <c r="R9" s="2">
        <f>jul_25!$L9</f>
        <v>20520.72</v>
      </c>
      <c r="S9" s="2">
        <f>aug_25!$L9</f>
        <v>23509.760000000002</v>
      </c>
      <c r="T9" s="2">
        <f>sep_25!$L9</f>
        <v>24061.03</v>
      </c>
      <c r="U9" s="2">
        <f>oct_25!$L9</f>
        <v>23716.9</v>
      </c>
      <c r="V9" s="2">
        <f>nov_25!$L9</f>
        <v>24363.120000000003</v>
      </c>
      <c r="W9" s="17">
        <f>dec_25!L9</f>
        <v>26217.83</v>
      </c>
      <c r="X9" s="18">
        <f>jan_26!L9</f>
        <v>25398.639999999999</v>
      </c>
    </row>
    <row r="10" spans="1:26" x14ac:dyDescent="0.35">
      <c r="A10" s="8" t="s">
        <v>19</v>
      </c>
      <c r="B10" s="2">
        <f>mar_24!L10</f>
        <v>0</v>
      </c>
      <c r="C10" s="2">
        <f>apr_24!L10</f>
        <v>0</v>
      </c>
      <c r="D10" s="2">
        <f>may_24!$L10</f>
        <v>0</v>
      </c>
      <c r="E10" s="2">
        <f>jun_24!$L10</f>
        <v>0</v>
      </c>
      <c r="F10" s="2">
        <f>jul_24!$L10</f>
        <v>0</v>
      </c>
      <c r="G10" s="2">
        <f>aug_24!$L10</f>
        <v>0</v>
      </c>
      <c r="H10" s="2">
        <f>sep_24!$L10</f>
        <v>0</v>
      </c>
      <c r="I10" s="2">
        <f>oct_24!$L10</f>
        <v>0</v>
      </c>
      <c r="J10" s="2">
        <f>nov_24!$L10</f>
        <v>0</v>
      </c>
      <c r="K10" s="2">
        <f>dec_24!$L10</f>
        <v>0</v>
      </c>
      <c r="L10" s="2">
        <f>jan_25!$L10</f>
        <v>0</v>
      </c>
      <c r="M10" s="2">
        <f>feb_25!$L10</f>
        <v>0</v>
      </c>
      <c r="N10" s="2">
        <f>mar_25!$L10</f>
        <v>0</v>
      </c>
      <c r="O10" s="2">
        <f>apr_25!$L10</f>
        <v>0</v>
      </c>
      <c r="P10" s="2">
        <f>may_25!$L10</f>
        <v>0</v>
      </c>
      <c r="Q10" s="2">
        <f>jun_25!$L10</f>
        <v>0</v>
      </c>
      <c r="R10" s="2">
        <f>jul_25!$L10</f>
        <v>0</v>
      </c>
      <c r="S10" s="2">
        <f>aug_25!$L10</f>
        <v>0</v>
      </c>
      <c r="T10" s="2">
        <f>sep_25!$L10</f>
        <v>0</v>
      </c>
      <c r="U10" s="2">
        <f>oct_25!$L10</f>
        <v>0</v>
      </c>
      <c r="V10" s="2">
        <f>nov_25!$L10</f>
        <v>0</v>
      </c>
      <c r="W10" s="17">
        <f>dec_25!L10</f>
        <v>8237.33</v>
      </c>
      <c r="X10" s="18">
        <f>jan_26!L10</f>
        <v>10921.95</v>
      </c>
    </row>
    <row r="11" spans="1:26" x14ac:dyDescent="0.35">
      <c r="A11" s="8" t="s">
        <v>20</v>
      </c>
      <c r="B11" s="2">
        <f>mar_24!L11</f>
        <v>0</v>
      </c>
      <c r="C11" s="2">
        <f>apr_24!L11</f>
        <v>0</v>
      </c>
      <c r="D11" s="2">
        <f>may_24!$L11</f>
        <v>0</v>
      </c>
      <c r="E11" s="2">
        <f>jun_24!$L11</f>
        <v>0</v>
      </c>
      <c r="F11" s="2">
        <f>jul_24!$L11</f>
        <v>0</v>
      </c>
      <c r="G11" s="2">
        <f>aug_24!$L11</f>
        <v>0</v>
      </c>
      <c r="H11" s="2">
        <f>sep_24!$L11</f>
        <v>0</v>
      </c>
      <c r="I11" s="2">
        <f>oct_24!$L11</f>
        <v>0</v>
      </c>
      <c r="J11" s="2">
        <f>nov_24!$L11</f>
        <v>0</v>
      </c>
      <c r="K11" s="2">
        <f>dec_24!$L11</f>
        <v>0</v>
      </c>
      <c r="L11" s="2">
        <f>jan_25!$L11</f>
        <v>0</v>
      </c>
      <c r="M11" s="2">
        <f>feb_25!$L11</f>
        <v>0</v>
      </c>
      <c r="N11" s="2">
        <f>mar_25!$L11</f>
        <v>0</v>
      </c>
      <c r="O11" s="2">
        <f>apr_25!$L11</f>
        <v>0</v>
      </c>
      <c r="P11" s="2">
        <f>may_25!$L11</f>
        <v>0</v>
      </c>
      <c r="Q11" s="2">
        <f>jun_25!$L11</f>
        <v>0</v>
      </c>
      <c r="R11" s="2">
        <f>jul_25!$L11</f>
        <v>0</v>
      </c>
      <c r="S11" s="2">
        <f>aug_25!$L11</f>
        <v>0</v>
      </c>
      <c r="T11" s="2">
        <f>sep_25!$L11</f>
        <v>0</v>
      </c>
      <c r="U11" s="2">
        <f>oct_25!$L11</f>
        <v>4160.95</v>
      </c>
      <c r="V11" s="2">
        <f>nov_25!$L11</f>
        <v>15019.07</v>
      </c>
      <c r="W11" s="17">
        <f>dec_25!L11</f>
        <v>15114.720000000001</v>
      </c>
      <c r="X11" s="18">
        <f>jan_26!L11</f>
        <v>11897.23</v>
      </c>
    </row>
    <row r="12" spans="1:26" x14ac:dyDescent="0.35">
      <c r="A12" s="8" t="s">
        <v>21</v>
      </c>
      <c r="B12" s="2">
        <f>mar_24!L12</f>
        <v>0</v>
      </c>
      <c r="C12" s="2">
        <f>apr_24!L12</f>
        <v>0</v>
      </c>
      <c r="D12" s="2">
        <f>may_24!$L12</f>
        <v>0</v>
      </c>
      <c r="E12" s="2">
        <f>jun_24!$L12</f>
        <v>0</v>
      </c>
      <c r="F12" s="2">
        <f>jul_24!$L12</f>
        <v>0</v>
      </c>
      <c r="G12" s="2">
        <f>aug_24!$L12</f>
        <v>0</v>
      </c>
      <c r="H12" s="2">
        <f>sep_24!$L12</f>
        <v>19435.75</v>
      </c>
      <c r="I12" s="2">
        <f>oct_24!$L12</f>
        <v>22299.25</v>
      </c>
      <c r="J12" s="2">
        <f>nov_24!$L12</f>
        <v>22845.38</v>
      </c>
      <c r="K12" s="2">
        <f>dec_24!$L12</f>
        <v>21747.050000000003</v>
      </c>
      <c r="L12" s="2">
        <f>jan_25!$L12</f>
        <v>21735.559999999998</v>
      </c>
      <c r="M12" s="2">
        <f>feb_25!$L12</f>
        <v>19404.020000000004</v>
      </c>
      <c r="N12" s="2">
        <f>mar_25!$L12</f>
        <v>21417.040000000001</v>
      </c>
      <c r="O12" s="2">
        <f>apr_25!$L12</f>
        <v>27007.8</v>
      </c>
      <c r="P12" s="2">
        <f>may_25!$L12</f>
        <v>29369.379999999997</v>
      </c>
      <c r="Q12" s="2">
        <f>jun_25!$L12</f>
        <v>28429.800000000003</v>
      </c>
      <c r="R12" s="2">
        <f>jul_25!$L12</f>
        <v>32366.58</v>
      </c>
      <c r="S12" s="2">
        <f>aug_25!$L12</f>
        <v>42025.81</v>
      </c>
      <c r="T12" s="2">
        <f>sep_25!$L12</f>
        <v>35459.599999999999</v>
      </c>
      <c r="U12" s="2">
        <f>oct_25!$L12</f>
        <v>42317.479999999996</v>
      </c>
      <c r="V12" s="2">
        <f>nov_25!$L12</f>
        <v>37620.130000000005</v>
      </c>
      <c r="W12" s="17">
        <f>dec_25!L12</f>
        <v>30909.32</v>
      </c>
      <c r="X12" s="18">
        <f>jan_26!L12</f>
        <v>26219.769999999997</v>
      </c>
    </row>
    <row r="13" spans="1:26" x14ac:dyDescent="0.35">
      <c r="A13" s="8" t="s">
        <v>22</v>
      </c>
      <c r="B13" s="2">
        <f>mar_24!L13</f>
        <v>0</v>
      </c>
      <c r="C13" s="2">
        <f>apr_24!L13</f>
        <v>0</v>
      </c>
      <c r="D13" s="2">
        <f>may_24!$L13</f>
        <v>0</v>
      </c>
      <c r="E13" s="2">
        <f>jun_24!$L13</f>
        <v>0</v>
      </c>
      <c r="F13" s="2">
        <f>jul_24!$L13</f>
        <v>14267.25</v>
      </c>
      <c r="G13" s="2">
        <f>aug_24!$L13</f>
        <v>22675.809999999998</v>
      </c>
      <c r="H13" s="2">
        <f>sep_24!$L13</f>
        <v>22233.93</v>
      </c>
      <c r="I13" s="2">
        <f>oct_24!$L13</f>
        <v>21467.440000000002</v>
      </c>
      <c r="J13" s="2">
        <f>nov_24!$L13</f>
        <v>22194.54</v>
      </c>
      <c r="K13" s="2">
        <f>dec_24!$L13</f>
        <v>22224.799999999996</v>
      </c>
      <c r="L13" s="2">
        <f>jan_25!$L13</f>
        <v>26287.05</v>
      </c>
      <c r="M13" s="2">
        <f>feb_25!$L13</f>
        <v>16483.93</v>
      </c>
      <c r="N13" s="2">
        <f>mar_25!$L13</f>
        <v>19894.920000000002</v>
      </c>
      <c r="O13" s="2">
        <f>apr_25!$L13</f>
        <v>29162.339999999997</v>
      </c>
      <c r="P13" s="2">
        <f>may_25!$L13</f>
        <v>29787.4</v>
      </c>
      <c r="Q13" s="2">
        <f>jun_25!$L13</f>
        <v>34521.839999999997</v>
      </c>
      <c r="R13" s="2">
        <f>jul_25!$L13</f>
        <v>41865.620000000003</v>
      </c>
      <c r="S13" s="2">
        <f>aug_25!$L13</f>
        <v>39845.960000000006</v>
      </c>
      <c r="T13" s="2">
        <f>sep_25!$L13</f>
        <v>40258.21</v>
      </c>
      <c r="U13" s="2">
        <f>oct_25!$L13</f>
        <v>36322.86</v>
      </c>
      <c r="V13" s="2">
        <f>nov_25!$L13</f>
        <v>37436.9</v>
      </c>
      <c r="W13" s="17">
        <f>dec_25!L13</f>
        <v>44565.35</v>
      </c>
      <c r="X13" s="18">
        <f>jan_26!L13</f>
        <v>43741.97</v>
      </c>
    </row>
    <row r="14" spans="1:26" x14ac:dyDescent="0.35">
      <c r="A14" s="8" t="s">
        <v>23</v>
      </c>
      <c r="B14" s="2">
        <f>mar_24!L14</f>
        <v>0</v>
      </c>
      <c r="C14" s="2">
        <f>apr_24!L14</f>
        <v>0</v>
      </c>
      <c r="D14" s="2">
        <f>may_24!$L14</f>
        <v>0</v>
      </c>
      <c r="E14" s="2">
        <f>jun_24!$L14</f>
        <v>0</v>
      </c>
      <c r="F14" s="2">
        <f>jul_24!$L14</f>
        <v>0</v>
      </c>
      <c r="G14" s="2">
        <f>aug_24!$L14</f>
        <v>0</v>
      </c>
      <c r="H14" s="2">
        <f>sep_24!$L14</f>
        <v>0</v>
      </c>
      <c r="I14" s="2">
        <f>oct_24!$L14</f>
        <v>0</v>
      </c>
      <c r="J14" s="2">
        <f>nov_24!$L14</f>
        <v>0</v>
      </c>
      <c r="K14" s="2">
        <f>dec_24!$L14</f>
        <v>0</v>
      </c>
      <c r="L14" s="2">
        <f>jan_25!$L14</f>
        <v>0</v>
      </c>
      <c r="M14" s="2">
        <f>feb_25!$L14</f>
        <v>0</v>
      </c>
      <c r="N14" s="2">
        <f>mar_25!$L14</f>
        <v>0</v>
      </c>
      <c r="O14" s="2">
        <f>apr_25!$L14</f>
        <v>0</v>
      </c>
      <c r="P14" s="2">
        <f>may_25!$L14</f>
        <v>0</v>
      </c>
      <c r="Q14" s="2">
        <f>jun_25!$L14</f>
        <v>0</v>
      </c>
      <c r="R14" s="2">
        <f>jul_25!$L14</f>
        <v>2477.85</v>
      </c>
      <c r="S14" s="2">
        <f>aug_25!$L14</f>
        <v>8284.2799999999988</v>
      </c>
      <c r="T14" s="2">
        <f>sep_25!$L14</f>
        <v>8867.85</v>
      </c>
      <c r="U14" s="2">
        <f>oct_25!$L14</f>
        <v>10227.39</v>
      </c>
      <c r="V14" s="2">
        <f>nov_25!$L14</f>
        <v>8840.77</v>
      </c>
      <c r="W14" s="17">
        <f>dec_25!L14</f>
        <v>13089.169999999998</v>
      </c>
      <c r="X14" s="18">
        <f>jan_26!L14</f>
        <v>14103.269999999999</v>
      </c>
    </row>
    <row r="15" spans="1:26" x14ac:dyDescent="0.35">
      <c r="A15" s="8" t="s">
        <v>24</v>
      </c>
      <c r="B15" s="2">
        <f>mar_24!L15</f>
        <v>0</v>
      </c>
      <c r="C15" s="2">
        <f>apr_24!L15</f>
        <v>0</v>
      </c>
      <c r="D15" s="2">
        <f>may_24!$L15</f>
        <v>0</v>
      </c>
      <c r="E15" s="2">
        <f>jun_24!$L15</f>
        <v>0</v>
      </c>
      <c r="F15" s="2">
        <f>jul_24!$L15</f>
        <v>0</v>
      </c>
      <c r="G15" s="2">
        <f>aug_24!$L15</f>
        <v>0</v>
      </c>
      <c r="H15" s="2">
        <f>sep_24!$L15</f>
        <v>0</v>
      </c>
      <c r="I15" s="2">
        <f>oct_24!$L15</f>
        <v>0</v>
      </c>
      <c r="J15" s="2">
        <f>nov_24!$L15</f>
        <v>0</v>
      </c>
      <c r="K15" s="2">
        <f>dec_24!$L15</f>
        <v>0</v>
      </c>
      <c r="L15" s="2">
        <f>jan_25!$L15</f>
        <v>0</v>
      </c>
      <c r="M15" s="2">
        <f>feb_25!$L15</f>
        <v>0</v>
      </c>
      <c r="N15" s="2">
        <f>mar_25!$L15</f>
        <v>0</v>
      </c>
      <c r="O15" s="2">
        <f>apr_25!$L15</f>
        <v>0</v>
      </c>
      <c r="P15" s="2">
        <f>may_25!$L15</f>
        <v>0</v>
      </c>
      <c r="Q15" s="2">
        <f>jun_25!$L15</f>
        <v>0</v>
      </c>
      <c r="R15" s="2">
        <f>jul_25!$L15</f>
        <v>0</v>
      </c>
      <c r="S15" s="2">
        <f>aug_25!$L15</f>
        <v>4705.1900000000005</v>
      </c>
      <c r="T15" s="2">
        <f>sep_25!$L15</f>
        <v>10919.769999999999</v>
      </c>
      <c r="U15" s="2">
        <f>oct_25!$L15</f>
        <v>14682.57</v>
      </c>
      <c r="V15" s="2">
        <f>nov_25!$L15</f>
        <v>17796.79</v>
      </c>
      <c r="W15" s="17">
        <f>dec_25!L15</f>
        <v>23283.690000000002</v>
      </c>
      <c r="X15" s="18">
        <f>jan_26!L15</f>
        <v>26265.160000000003</v>
      </c>
    </row>
    <row r="16" spans="1:26" x14ac:dyDescent="0.35">
      <c r="A16" s="8" t="s">
        <v>25</v>
      </c>
      <c r="B16" s="2">
        <f>mar_24!L16</f>
        <v>0</v>
      </c>
      <c r="C16" s="2">
        <f>apr_24!L16</f>
        <v>0</v>
      </c>
      <c r="D16" s="2">
        <f>may_24!$L16</f>
        <v>0</v>
      </c>
      <c r="E16" s="2">
        <f>jun_24!$L16</f>
        <v>0</v>
      </c>
      <c r="F16" s="2">
        <f>jul_24!$L16</f>
        <v>0</v>
      </c>
      <c r="G16" s="2">
        <f>aug_24!$L16</f>
        <v>0</v>
      </c>
      <c r="H16" s="2">
        <f>sep_24!$L16</f>
        <v>0</v>
      </c>
      <c r="I16" s="2">
        <f>oct_24!$L16</f>
        <v>0</v>
      </c>
      <c r="J16" s="2">
        <f>nov_24!$L16</f>
        <v>0</v>
      </c>
      <c r="K16" s="2">
        <f>dec_24!$L16</f>
        <v>2125.5500000000002</v>
      </c>
      <c r="L16" s="2">
        <f>jan_25!$L16</f>
        <v>7263.49</v>
      </c>
      <c r="M16" s="2">
        <f>feb_25!$L16</f>
        <v>4109.05</v>
      </c>
      <c r="N16" s="2">
        <f>mar_25!$L16</f>
        <v>4044.13</v>
      </c>
      <c r="O16" s="2">
        <f>apr_25!$L16</f>
        <v>3148.1299999999997</v>
      </c>
      <c r="P16" s="2">
        <f>may_25!$L16</f>
        <v>4225.59</v>
      </c>
      <c r="Q16" s="2">
        <f>jun_25!$L16</f>
        <v>4441.3499999999995</v>
      </c>
      <c r="R16" s="2">
        <f>jul_25!$L16</f>
        <v>3298.3399999999997</v>
      </c>
      <c r="S16" s="2">
        <f>aug_25!$L16</f>
        <v>3282.1400000000003</v>
      </c>
      <c r="T16" s="2">
        <f>sep_25!$L16</f>
        <v>2838.89</v>
      </c>
      <c r="U16" s="2">
        <f>oct_25!$L16</f>
        <v>5140.88</v>
      </c>
      <c r="V16" s="2">
        <f>nov_25!$L16</f>
        <v>5569.3899999999994</v>
      </c>
      <c r="W16" s="17">
        <f>dec_25!L16</f>
        <v>7255.2199999999993</v>
      </c>
      <c r="X16" s="18">
        <f>jan_26!L16</f>
        <v>7816.66</v>
      </c>
    </row>
    <row r="17" spans="1:24" x14ac:dyDescent="0.35">
      <c r="A17" s="8" t="s">
        <v>26</v>
      </c>
      <c r="B17" s="2">
        <f>mar_24!L17</f>
        <v>0</v>
      </c>
      <c r="C17" s="2">
        <f>apr_24!L17</f>
        <v>0</v>
      </c>
      <c r="D17" s="2">
        <f>may_24!$L17</f>
        <v>0</v>
      </c>
      <c r="E17" s="2">
        <f>jun_24!$L17</f>
        <v>0</v>
      </c>
      <c r="F17" s="2">
        <f>jul_24!$L17</f>
        <v>0</v>
      </c>
      <c r="G17" s="2">
        <f>aug_24!$L17</f>
        <v>0</v>
      </c>
      <c r="H17" s="2">
        <f>sep_24!$L17</f>
        <v>0</v>
      </c>
      <c r="I17" s="2">
        <f>oct_24!$L17</f>
        <v>0</v>
      </c>
      <c r="J17" s="2">
        <f>nov_24!$L17</f>
        <v>0</v>
      </c>
      <c r="K17" s="2">
        <f>dec_24!$L17</f>
        <v>0</v>
      </c>
      <c r="L17" s="2">
        <f>jan_25!$L17</f>
        <v>0</v>
      </c>
      <c r="M17" s="2">
        <f>feb_25!$L17</f>
        <v>0</v>
      </c>
      <c r="N17" s="2">
        <f>mar_25!$L17</f>
        <v>0</v>
      </c>
      <c r="O17" s="2">
        <f>apr_25!$L17</f>
        <v>0</v>
      </c>
      <c r="P17" s="2">
        <f>may_25!$L17</f>
        <v>0</v>
      </c>
      <c r="Q17" s="2">
        <f>jun_25!$L17</f>
        <v>0</v>
      </c>
      <c r="R17" s="2">
        <f>jul_25!$L17</f>
        <v>0</v>
      </c>
      <c r="S17" s="2">
        <f>aug_25!$L17</f>
        <v>0</v>
      </c>
      <c r="T17" s="2">
        <f>sep_25!$L17</f>
        <v>0</v>
      </c>
      <c r="U17" s="2">
        <f>oct_25!$L17</f>
        <v>11356.36</v>
      </c>
      <c r="V17" s="2">
        <f>nov_25!$L17</f>
        <v>17443.62</v>
      </c>
      <c r="W17" s="17">
        <f>dec_25!L17</f>
        <v>20370.88</v>
      </c>
      <c r="X17" s="18">
        <f>jan_26!L17</f>
        <v>13333.52</v>
      </c>
    </row>
    <row r="18" spans="1:24" x14ac:dyDescent="0.35">
      <c r="A18" s="8" t="s">
        <v>93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17">
        <f>dec_25!L18</f>
        <v>1444.6999999999998</v>
      </c>
      <c r="X18" s="18">
        <f>jan_26!L18</f>
        <v>20129.88</v>
      </c>
    </row>
    <row r="19" spans="1:24" x14ac:dyDescent="0.35">
      <c r="A19" s="8" t="s">
        <v>27</v>
      </c>
      <c r="B19" s="2">
        <f>mar_24!L18</f>
        <v>0</v>
      </c>
      <c r="C19" s="2">
        <f>apr_24!L18</f>
        <v>0</v>
      </c>
      <c r="D19" s="2">
        <f>may_24!$L18</f>
        <v>0</v>
      </c>
      <c r="E19" s="2">
        <f>jun_24!$L18</f>
        <v>0</v>
      </c>
      <c r="F19" s="2">
        <f>jul_24!$L18</f>
        <v>0</v>
      </c>
      <c r="G19" s="2">
        <f>aug_24!$L18</f>
        <v>0</v>
      </c>
      <c r="H19" s="2">
        <f>sep_24!$L18</f>
        <v>0</v>
      </c>
      <c r="I19" s="2">
        <f>oct_24!$L18</f>
        <v>0</v>
      </c>
      <c r="J19" s="2">
        <f>nov_24!$L18</f>
        <v>0</v>
      </c>
      <c r="K19" s="2">
        <f>dec_24!$L18</f>
        <v>0</v>
      </c>
      <c r="L19" s="2">
        <f>jan_25!$L18</f>
        <v>0</v>
      </c>
      <c r="M19" s="2">
        <f>feb_25!$L18</f>
        <v>0</v>
      </c>
      <c r="N19" s="2">
        <f>mar_25!$L18</f>
        <v>0</v>
      </c>
      <c r="O19" s="2">
        <f>apr_25!$L18</f>
        <v>0</v>
      </c>
      <c r="P19" s="2">
        <f>may_25!$L18</f>
        <v>0</v>
      </c>
      <c r="Q19" s="2">
        <f>jun_25!$L18</f>
        <v>0</v>
      </c>
      <c r="R19" s="2">
        <f>jul_25!$L18</f>
        <v>11019.39</v>
      </c>
      <c r="S19" s="2">
        <f>aug_25!$L18</f>
        <v>24783.32</v>
      </c>
      <c r="T19" s="2">
        <f>sep_25!$L18</f>
        <v>24681.729999999996</v>
      </c>
      <c r="U19" s="2">
        <f>oct_25!$L18</f>
        <v>28605.43</v>
      </c>
      <c r="V19" s="2">
        <f>nov_25!$L19</f>
        <v>25520.66</v>
      </c>
      <c r="W19" s="17">
        <f>dec_25!L19</f>
        <v>14122.060000000001</v>
      </c>
      <c r="X19" s="18">
        <f>jan_26!L19</f>
        <v>12334.029999999999</v>
      </c>
    </row>
    <row r="20" spans="1:24" x14ac:dyDescent="0.35">
      <c r="A20" s="8" t="s">
        <v>28</v>
      </c>
      <c r="B20" s="2">
        <f>mar_24!L19</f>
        <v>0</v>
      </c>
      <c r="C20" s="2">
        <f>apr_24!L19</f>
        <v>0</v>
      </c>
      <c r="D20" s="2">
        <f>may_24!$L19</f>
        <v>0</v>
      </c>
      <c r="E20" s="2">
        <f>jun_24!$L19</f>
        <v>0</v>
      </c>
      <c r="F20" s="2">
        <f>jul_24!$L19</f>
        <v>0</v>
      </c>
      <c r="G20" s="2">
        <f>aug_24!$L19</f>
        <v>0</v>
      </c>
      <c r="H20" s="2">
        <f>sep_24!$L19</f>
        <v>0</v>
      </c>
      <c r="I20" s="2">
        <f>oct_24!$L19</f>
        <v>1202.4399999999998</v>
      </c>
      <c r="J20" s="2">
        <f>nov_24!$L19</f>
        <v>8787.9400000000023</v>
      </c>
      <c r="K20" s="2">
        <f>dec_24!$L19</f>
        <v>11734.260000000002</v>
      </c>
      <c r="L20" s="2">
        <f>jan_25!$L19</f>
        <v>13307.490000000002</v>
      </c>
      <c r="M20" s="2">
        <f>feb_25!$L19</f>
        <v>7291.02</v>
      </c>
      <c r="N20" s="2">
        <f>mar_25!$L19</f>
        <v>9831.85</v>
      </c>
      <c r="O20" s="2">
        <f>apr_25!$L19</f>
        <v>11503.29</v>
      </c>
      <c r="P20" s="2">
        <f>may_25!$L19</f>
        <v>12434.339999999998</v>
      </c>
      <c r="Q20" s="2">
        <f>jun_25!$L19</f>
        <v>14162.68</v>
      </c>
      <c r="R20" s="2">
        <f>jul_25!$L19</f>
        <v>15804.3</v>
      </c>
      <c r="S20" s="2">
        <f>aug_25!$L19</f>
        <v>14076.21</v>
      </c>
      <c r="T20" s="2">
        <f>sep_25!$L19</f>
        <v>11973.5</v>
      </c>
      <c r="U20" s="2">
        <f>oct_25!$L19</f>
        <v>13754.59</v>
      </c>
      <c r="V20" s="2">
        <f>nov_25!$L20</f>
        <v>13936.86</v>
      </c>
      <c r="W20" s="17">
        <f>dec_25!L20</f>
        <v>17745.28</v>
      </c>
      <c r="X20" s="18">
        <f>jan_26!L20</f>
        <v>18593.21</v>
      </c>
    </row>
    <row r="21" spans="1:24" x14ac:dyDescent="0.35">
      <c r="A21" s="8" t="s">
        <v>94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17">
        <f>dec_25!L21</f>
        <v>250.28</v>
      </c>
      <c r="X21" s="18">
        <f>jan_26!L21</f>
        <v>19765.38</v>
      </c>
    </row>
    <row r="22" spans="1:24" x14ac:dyDescent="0.35">
      <c r="A22" t="s">
        <v>97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18">
        <f>jan_26!L22</f>
        <v>0</v>
      </c>
    </row>
    <row r="23" spans="1:24" x14ac:dyDescent="0.35">
      <c r="A23" s="8" t="s">
        <v>29</v>
      </c>
      <c r="B23" s="2">
        <f>mar_24!L20</f>
        <v>0</v>
      </c>
      <c r="C23" s="2">
        <f>apr_24!L20</f>
        <v>0</v>
      </c>
      <c r="D23" s="2">
        <f>may_24!$L20</f>
        <v>0</v>
      </c>
      <c r="E23" s="2">
        <f>jun_24!$L20</f>
        <v>0</v>
      </c>
      <c r="F23" s="2">
        <f>jul_24!$L20</f>
        <v>0</v>
      </c>
      <c r="G23" s="2">
        <f>aug_24!$L20</f>
        <v>0</v>
      </c>
      <c r="H23" s="2">
        <f>sep_24!$L20</f>
        <v>0</v>
      </c>
      <c r="I23" s="2">
        <f>oct_24!$L20</f>
        <v>0</v>
      </c>
      <c r="J23" s="2">
        <f>nov_24!$L20</f>
        <v>0</v>
      </c>
      <c r="K23" s="2">
        <f>dec_24!$L20</f>
        <v>0</v>
      </c>
      <c r="L23" s="2">
        <f>jan_25!$L20</f>
        <v>0</v>
      </c>
      <c r="M23" s="2">
        <f>feb_25!$L20</f>
        <v>0</v>
      </c>
      <c r="N23" s="2">
        <f>mar_25!$L20</f>
        <v>0</v>
      </c>
      <c r="O23" s="2">
        <f>apr_25!$L20</f>
        <v>0</v>
      </c>
      <c r="P23" s="2">
        <f>may_25!$L20</f>
        <v>0</v>
      </c>
      <c r="Q23" s="2">
        <f>jun_25!$L20</f>
        <v>0</v>
      </c>
      <c r="R23" s="2">
        <f>jul_25!$L20</f>
        <v>0</v>
      </c>
      <c r="S23" s="2">
        <f>aug_25!$L20</f>
        <v>0</v>
      </c>
      <c r="T23" s="2">
        <f>sep_25!$L20</f>
        <v>0</v>
      </c>
      <c r="U23" s="2">
        <f>oct_25!$L20</f>
        <v>1135.67</v>
      </c>
      <c r="V23" s="2">
        <f>nov_25!$L22</f>
        <v>21127</v>
      </c>
      <c r="W23" s="17">
        <f>dec_25!L22</f>
        <v>21926.86</v>
      </c>
      <c r="X23" s="18">
        <f>jan_26!L23</f>
        <v>17919.310000000001</v>
      </c>
    </row>
    <row r="24" spans="1:24" x14ac:dyDescent="0.35">
      <c r="A24" s="8" t="s">
        <v>30</v>
      </c>
      <c r="B24" s="2">
        <f>mar_24!L21</f>
        <v>0</v>
      </c>
      <c r="C24" s="2">
        <f>apr_24!L21</f>
        <v>0</v>
      </c>
      <c r="D24" s="2">
        <f>may_24!$L21</f>
        <v>0</v>
      </c>
      <c r="E24" s="2">
        <f>jun_24!$L21</f>
        <v>0</v>
      </c>
      <c r="F24" s="2">
        <f>jul_24!$L21</f>
        <v>0</v>
      </c>
      <c r="G24" s="2">
        <f>aug_24!$L21</f>
        <v>0</v>
      </c>
      <c r="H24" s="2">
        <f>sep_24!$L21</f>
        <v>0</v>
      </c>
      <c r="I24" s="2">
        <f>oct_24!$L21</f>
        <v>0</v>
      </c>
      <c r="J24" s="2">
        <f>nov_24!$L21</f>
        <v>0</v>
      </c>
      <c r="K24" s="2">
        <f>dec_24!$L21</f>
        <v>0</v>
      </c>
      <c r="L24" s="2">
        <f>jan_25!$L21</f>
        <v>0</v>
      </c>
      <c r="M24" s="2">
        <f>feb_25!$L21</f>
        <v>0</v>
      </c>
      <c r="N24" s="2">
        <f>mar_25!$L21</f>
        <v>0</v>
      </c>
      <c r="O24" s="2">
        <f>apr_25!$L21</f>
        <v>0</v>
      </c>
      <c r="P24" s="2">
        <f>may_25!$L21</f>
        <v>0</v>
      </c>
      <c r="Q24" s="2">
        <f>jun_25!$L21</f>
        <v>0</v>
      </c>
      <c r="R24" s="2">
        <f>jul_25!$L21</f>
        <v>0</v>
      </c>
      <c r="S24" s="2">
        <f>aug_25!$L21</f>
        <v>9679.2099999999991</v>
      </c>
      <c r="T24" s="2">
        <f>sep_25!$L21</f>
        <v>17559.679999999997</v>
      </c>
      <c r="U24" s="2">
        <f>oct_25!$L21</f>
        <v>22999.199999999997</v>
      </c>
      <c r="V24" s="2">
        <f>nov_25!$L23</f>
        <v>24614.67</v>
      </c>
      <c r="W24" s="17">
        <f>dec_25!L23</f>
        <v>31897.87</v>
      </c>
      <c r="X24" s="18">
        <f>jan_26!L24</f>
        <v>32312.84</v>
      </c>
    </row>
    <row r="25" spans="1:24" x14ac:dyDescent="0.35">
      <c r="A25" s="8" t="s">
        <v>31</v>
      </c>
      <c r="B25" s="2">
        <f>mar_24!L22</f>
        <v>0</v>
      </c>
      <c r="C25" s="2">
        <f>apr_24!L22</f>
        <v>0</v>
      </c>
      <c r="D25" s="2">
        <f>may_24!$L22</f>
        <v>1222.3800000000001</v>
      </c>
      <c r="E25" s="2">
        <f>jun_24!$L22</f>
        <v>5262.9</v>
      </c>
      <c r="F25" s="2">
        <f>jul_24!$L22</f>
        <v>5752.65</v>
      </c>
      <c r="G25" s="2">
        <f>aug_24!$L22</f>
        <v>5429.24</v>
      </c>
      <c r="H25" s="2">
        <f>sep_24!$L22</f>
        <v>6004.6</v>
      </c>
      <c r="I25" s="2">
        <f>oct_24!$L22</f>
        <v>9003.4699999999993</v>
      </c>
      <c r="J25" s="2">
        <f>nov_24!$L22</f>
        <v>6759.38</v>
      </c>
      <c r="K25" s="2">
        <f>dec_24!$L22</f>
        <v>9224.1</v>
      </c>
      <c r="L25" s="2">
        <f>jan_25!$L22</f>
        <v>7505.5499999999993</v>
      </c>
      <c r="M25" s="2">
        <f>feb_25!$L22</f>
        <v>6210.4</v>
      </c>
      <c r="N25" s="2">
        <f>mar_25!$L22</f>
        <v>7578.25</v>
      </c>
      <c r="O25" s="2">
        <f>apr_25!$L22</f>
        <v>9538.89</v>
      </c>
      <c r="P25" s="2">
        <f>may_25!$L22</f>
        <v>10139.900000000001</v>
      </c>
      <c r="Q25" s="2">
        <f>jun_25!$L22</f>
        <v>10311.32</v>
      </c>
      <c r="R25" s="2">
        <f>jul_25!$L22</f>
        <v>9593.8100000000013</v>
      </c>
      <c r="S25" s="2">
        <f>aug_25!$L22</f>
        <v>11678.35</v>
      </c>
      <c r="T25" s="2">
        <f>sep_25!$L22</f>
        <v>12133.279999999999</v>
      </c>
      <c r="U25" s="2">
        <f>oct_25!$L22</f>
        <v>14214.78</v>
      </c>
      <c r="V25" s="2">
        <f>nov_25!$L24</f>
        <v>12873.32</v>
      </c>
      <c r="W25" s="17">
        <f>dec_25!L24</f>
        <v>12159.850000000002</v>
      </c>
      <c r="X25" s="18">
        <f>jan_26!L25</f>
        <v>9710.23</v>
      </c>
    </row>
    <row r="26" spans="1:24" x14ac:dyDescent="0.35">
      <c r="A26" s="8" t="s">
        <v>32</v>
      </c>
      <c r="B26" s="2">
        <f>mar_24!L23</f>
        <v>0</v>
      </c>
      <c r="C26" s="2">
        <f>apr_24!L23</f>
        <v>0</v>
      </c>
      <c r="D26" s="2">
        <f>may_24!$L23</f>
        <v>0</v>
      </c>
      <c r="E26" s="2">
        <f>jun_24!$L23</f>
        <v>0</v>
      </c>
      <c r="F26" s="2">
        <f>jul_24!$L23</f>
        <v>8669.8200000000015</v>
      </c>
      <c r="G26" s="2">
        <f>aug_24!$L23</f>
        <v>13295.769999999999</v>
      </c>
      <c r="H26" s="2">
        <f>sep_24!$L23</f>
        <v>12407.069999999998</v>
      </c>
      <c r="I26" s="2">
        <f>oct_24!$L23</f>
        <v>14197.839999999998</v>
      </c>
      <c r="J26" s="2">
        <f>nov_24!$L23</f>
        <v>14789.54</v>
      </c>
      <c r="K26" s="2">
        <f>dec_24!$L23</f>
        <v>14548.169999999998</v>
      </c>
      <c r="L26" s="2">
        <f>jan_25!$L23</f>
        <v>17519.13</v>
      </c>
      <c r="M26" s="2">
        <f>feb_25!$L23</f>
        <v>13559.730000000001</v>
      </c>
      <c r="N26" s="2">
        <f>mar_25!$L23</f>
        <v>16292.87</v>
      </c>
      <c r="O26" s="2">
        <f>apr_25!$L23</f>
        <v>20668.71</v>
      </c>
      <c r="P26" s="2">
        <f>may_25!$L23</f>
        <v>22891.070000000003</v>
      </c>
      <c r="Q26" s="2">
        <f>jun_25!$L23</f>
        <v>24814.269999999997</v>
      </c>
      <c r="R26" s="2">
        <f>jul_25!$L23</f>
        <v>26128</v>
      </c>
      <c r="S26" s="2">
        <f>aug_25!$L23</f>
        <v>29172.43</v>
      </c>
      <c r="T26" s="2">
        <f>sep_25!$L23</f>
        <v>31933.520000000004</v>
      </c>
      <c r="U26" s="2">
        <f>oct_25!$L23</f>
        <v>35162.660000000003</v>
      </c>
      <c r="V26" s="2">
        <f>nov_25!$L25</f>
        <v>35629.300000000003</v>
      </c>
      <c r="W26" s="17">
        <f>dec_25!L25</f>
        <v>37906.28</v>
      </c>
      <c r="X26" s="18">
        <f>jan_26!L26</f>
        <v>31263.79</v>
      </c>
    </row>
    <row r="27" spans="1:24" x14ac:dyDescent="0.35">
      <c r="A27" s="8" t="s">
        <v>33</v>
      </c>
      <c r="B27" s="2">
        <f>mar_24!L24</f>
        <v>0</v>
      </c>
      <c r="C27" s="2">
        <f>apr_24!L24</f>
        <v>0</v>
      </c>
      <c r="D27" s="2">
        <f>may_24!$L24</f>
        <v>0</v>
      </c>
      <c r="E27" s="2">
        <f>jun_24!$L24</f>
        <v>0</v>
      </c>
      <c r="F27" s="2">
        <f>jul_24!$L24</f>
        <v>0</v>
      </c>
      <c r="G27" s="2">
        <f>aug_24!$L24</f>
        <v>0</v>
      </c>
      <c r="H27" s="2">
        <f>sep_24!$L24</f>
        <v>0</v>
      </c>
      <c r="I27" s="2">
        <f>oct_24!$L24</f>
        <v>0</v>
      </c>
      <c r="J27" s="2">
        <f>nov_24!$L24</f>
        <v>0</v>
      </c>
      <c r="K27" s="2">
        <f>dec_24!$L24</f>
        <v>0</v>
      </c>
      <c r="L27" s="2">
        <f>jan_25!$L24</f>
        <v>0</v>
      </c>
      <c r="M27" s="2">
        <f>feb_25!$L24</f>
        <v>0</v>
      </c>
      <c r="N27" s="2">
        <f>mar_25!$L24</f>
        <v>0</v>
      </c>
      <c r="O27" s="2">
        <f>apr_25!$L24</f>
        <v>0</v>
      </c>
      <c r="P27" s="2">
        <f>may_25!$L24</f>
        <v>0</v>
      </c>
      <c r="Q27" s="2">
        <f>jun_25!$L24</f>
        <v>0</v>
      </c>
      <c r="R27" s="2">
        <f>jul_25!$L24</f>
        <v>0</v>
      </c>
      <c r="S27" s="2">
        <f>aug_25!$L24</f>
        <v>10352.459999999999</v>
      </c>
      <c r="T27" s="2">
        <f>sep_25!$L24</f>
        <v>12224.149999999998</v>
      </c>
      <c r="U27" s="2">
        <f>oct_25!$L24</f>
        <v>12539.55</v>
      </c>
      <c r="V27" s="2">
        <f>nov_25!$L26</f>
        <v>12153</v>
      </c>
      <c r="W27" s="17">
        <f>dec_25!L26</f>
        <v>13807.39</v>
      </c>
      <c r="X27" s="18">
        <f>jan_26!L27</f>
        <v>12439.310000000001</v>
      </c>
    </row>
    <row r="28" spans="1:24" x14ac:dyDescent="0.35">
      <c r="A28" s="8" t="s">
        <v>34</v>
      </c>
      <c r="B28" s="2">
        <f>mar_24!L25</f>
        <v>0</v>
      </c>
      <c r="C28" s="2">
        <f>apr_24!L25</f>
        <v>0</v>
      </c>
      <c r="D28" s="2">
        <f>may_24!$L25</f>
        <v>0</v>
      </c>
      <c r="E28" s="2">
        <f>jun_24!$L25</f>
        <v>0</v>
      </c>
      <c r="F28" s="2">
        <f>jul_24!$L25</f>
        <v>0</v>
      </c>
      <c r="G28" s="2">
        <f>aug_24!$L25</f>
        <v>0</v>
      </c>
      <c r="H28" s="2">
        <f>sep_24!$L25</f>
        <v>0</v>
      </c>
      <c r="I28" s="2">
        <f>oct_24!$L25</f>
        <v>0</v>
      </c>
      <c r="J28" s="2">
        <f>nov_24!$L25</f>
        <v>0</v>
      </c>
      <c r="K28" s="2">
        <f>dec_24!$L25</f>
        <v>0</v>
      </c>
      <c r="L28" s="2">
        <f>jan_25!$L25</f>
        <v>0</v>
      </c>
      <c r="M28" s="2">
        <f>feb_25!$L25</f>
        <v>0</v>
      </c>
      <c r="N28" s="2">
        <f>mar_25!$L25</f>
        <v>0</v>
      </c>
      <c r="O28" s="2">
        <f>apr_25!$L25</f>
        <v>0</v>
      </c>
      <c r="P28" s="2">
        <f>may_25!$L25</f>
        <v>0</v>
      </c>
      <c r="Q28" s="2">
        <f>jun_25!$L25</f>
        <v>0</v>
      </c>
      <c r="R28" s="2">
        <f>jul_25!$L25</f>
        <v>1898.58</v>
      </c>
      <c r="S28" s="2">
        <f>aug_25!$L25</f>
        <v>10027.820000000002</v>
      </c>
      <c r="T28" s="2">
        <f>sep_25!$L25</f>
        <v>9472.630000000001</v>
      </c>
      <c r="U28" s="2">
        <f>oct_25!$L25</f>
        <v>20290.309999999998</v>
      </c>
      <c r="V28" s="2">
        <f>nov_25!$L27</f>
        <v>20013.900000000001</v>
      </c>
      <c r="W28" s="17">
        <f>dec_25!L27</f>
        <v>18733.990000000002</v>
      </c>
      <c r="X28" s="18">
        <f>jan_26!L28</f>
        <v>18914.45</v>
      </c>
    </row>
    <row r="29" spans="1:24" x14ac:dyDescent="0.35">
      <c r="A29" s="8" t="s">
        <v>35</v>
      </c>
      <c r="B29" s="2">
        <f>mar_24!L26</f>
        <v>0</v>
      </c>
      <c r="C29" s="2">
        <f>apr_24!L26</f>
        <v>0</v>
      </c>
      <c r="D29" s="2">
        <f>may_24!$L26</f>
        <v>0</v>
      </c>
      <c r="E29" s="2">
        <f>jun_24!$L26</f>
        <v>0</v>
      </c>
      <c r="F29" s="2">
        <f>jul_24!$L26</f>
        <v>0</v>
      </c>
      <c r="G29" s="2">
        <f>aug_24!$L26</f>
        <v>0</v>
      </c>
      <c r="H29" s="2">
        <f>sep_24!$L26</f>
        <v>0</v>
      </c>
      <c r="I29" s="2">
        <f>oct_24!$L26</f>
        <v>0</v>
      </c>
      <c r="J29" s="2">
        <f>nov_24!$L26</f>
        <v>0</v>
      </c>
      <c r="K29" s="2">
        <f>dec_24!$L26</f>
        <v>0</v>
      </c>
      <c r="L29" s="2">
        <f>jan_25!$L26</f>
        <v>0</v>
      </c>
      <c r="M29" s="2">
        <f>feb_25!$L26</f>
        <v>0</v>
      </c>
      <c r="N29" s="2">
        <f>mar_25!$L26</f>
        <v>0</v>
      </c>
      <c r="O29" s="2">
        <f>apr_25!$L26</f>
        <v>0</v>
      </c>
      <c r="P29" s="2">
        <f>may_25!$L26</f>
        <v>0</v>
      </c>
      <c r="Q29" s="2">
        <f>jun_25!$L26</f>
        <v>0</v>
      </c>
      <c r="R29" s="2">
        <f>jul_25!$L26</f>
        <v>0</v>
      </c>
      <c r="S29" s="2">
        <f>aug_25!$L26</f>
        <v>0</v>
      </c>
      <c r="T29" s="2">
        <f>sep_25!$L26</f>
        <v>0</v>
      </c>
      <c r="U29" s="2">
        <f>oct_25!$L26</f>
        <v>1486.7300000000002</v>
      </c>
      <c r="V29" s="2">
        <f>nov_25!$L28</f>
        <v>25176.14</v>
      </c>
      <c r="W29" s="17">
        <f>dec_25!L28</f>
        <v>29580.43</v>
      </c>
      <c r="X29" s="18">
        <f>jan_26!L29</f>
        <v>23857.96</v>
      </c>
    </row>
    <row r="30" spans="1:24" x14ac:dyDescent="0.35">
      <c r="A30" s="8" t="s">
        <v>36</v>
      </c>
      <c r="B30" s="2">
        <f>mar_24!L27</f>
        <v>0</v>
      </c>
      <c r="C30" s="2">
        <f>apr_24!L27</f>
        <v>0</v>
      </c>
      <c r="D30" s="2">
        <f>may_24!$L27</f>
        <v>0</v>
      </c>
      <c r="E30" s="2">
        <f>jun_24!$L27</f>
        <v>0</v>
      </c>
      <c r="F30" s="2">
        <f>jul_24!$L27</f>
        <v>0</v>
      </c>
      <c r="G30" s="2">
        <f>aug_24!$L27</f>
        <v>0</v>
      </c>
      <c r="H30" s="2">
        <f>sep_24!$L27</f>
        <v>0</v>
      </c>
      <c r="I30" s="2">
        <f>oct_24!$L27</f>
        <v>0</v>
      </c>
      <c r="J30" s="2">
        <f>nov_24!$L27</f>
        <v>0</v>
      </c>
      <c r="K30" s="2">
        <f>dec_24!$L27</f>
        <v>0</v>
      </c>
      <c r="L30" s="2">
        <f>jan_25!$L27</f>
        <v>0</v>
      </c>
      <c r="M30" s="2">
        <f>feb_25!$L27</f>
        <v>0</v>
      </c>
      <c r="N30" s="2">
        <f>mar_25!$L27</f>
        <v>0</v>
      </c>
      <c r="O30" s="2">
        <f>apr_25!$L27</f>
        <v>0</v>
      </c>
      <c r="P30" s="2">
        <f>may_25!$L27</f>
        <v>0</v>
      </c>
      <c r="Q30" s="2">
        <f>jun_25!$L27</f>
        <v>0</v>
      </c>
      <c r="R30" s="2">
        <f>jul_25!$L27</f>
        <v>2296.84</v>
      </c>
      <c r="S30" s="2">
        <f>aug_25!$L27</f>
        <v>14305.240000000002</v>
      </c>
      <c r="T30" s="2">
        <f>sep_25!$L27</f>
        <v>12205.78</v>
      </c>
      <c r="U30" s="2">
        <f>oct_25!$L27</f>
        <v>24315.09</v>
      </c>
      <c r="V30" s="2">
        <f>nov_25!$L29</f>
        <v>25704.3</v>
      </c>
      <c r="W30" s="17">
        <f>dec_25!L29</f>
        <v>30521.25</v>
      </c>
      <c r="X30" s="18">
        <f>jan_26!L30</f>
        <v>23977.52</v>
      </c>
    </row>
    <row r="31" spans="1:24" x14ac:dyDescent="0.35">
      <c r="A31" s="8" t="s">
        <v>37</v>
      </c>
      <c r="B31" s="2">
        <f>mar_24!L28</f>
        <v>0</v>
      </c>
      <c r="C31" s="2">
        <f>apr_24!L28</f>
        <v>0</v>
      </c>
      <c r="D31" s="2">
        <f>may_24!$L28</f>
        <v>0</v>
      </c>
      <c r="E31" s="2">
        <f>jun_24!$L28</f>
        <v>0</v>
      </c>
      <c r="F31" s="2">
        <f>jul_24!$L28</f>
        <v>0</v>
      </c>
      <c r="G31" s="2">
        <f>aug_24!$L28</f>
        <v>0</v>
      </c>
      <c r="H31" s="2">
        <f>sep_24!$L28</f>
        <v>0</v>
      </c>
      <c r="I31" s="2">
        <f>oct_24!$L28</f>
        <v>0</v>
      </c>
      <c r="J31" s="2">
        <f>nov_24!$L28</f>
        <v>0</v>
      </c>
      <c r="K31" s="2">
        <f>dec_24!$L28</f>
        <v>0</v>
      </c>
      <c r="L31" s="2">
        <f>jan_25!$L28</f>
        <v>0</v>
      </c>
      <c r="M31" s="2">
        <f>feb_25!$L28</f>
        <v>0</v>
      </c>
      <c r="N31" s="2">
        <f>mar_25!$L28</f>
        <v>0</v>
      </c>
      <c r="O31" s="2">
        <f>apr_25!$L28</f>
        <v>0</v>
      </c>
      <c r="P31" s="2">
        <f>may_25!$L28</f>
        <v>0</v>
      </c>
      <c r="Q31" s="2">
        <f>jun_25!$L28</f>
        <v>0</v>
      </c>
      <c r="R31" s="2">
        <f>jul_25!$L28</f>
        <v>18376.12</v>
      </c>
      <c r="S31" s="2">
        <f>aug_25!$L28</f>
        <v>29789.42</v>
      </c>
      <c r="T31" s="2">
        <f>sep_25!$L28</f>
        <v>30458.15</v>
      </c>
      <c r="U31" s="2">
        <f>oct_25!$L28</f>
        <v>29007.260000000002</v>
      </c>
      <c r="V31" s="2">
        <f>nov_25!$L30</f>
        <v>31082.720000000001</v>
      </c>
      <c r="W31" s="17">
        <f>dec_25!L30</f>
        <v>29964.42</v>
      </c>
      <c r="X31" s="18">
        <f>jan_26!L31</f>
        <v>22378.090000000004</v>
      </c>
    </row>
    <row r="32" spans="1:24" x14ac:dyDescent="0.35">
      <c r="A32" s="8" t="s">
        <v>38</v>
      </c>
      <c r="B32" s="2">
        <f>mar_24!L29</f>
        <v>0</v>
      </c>
      <c r="C32" s="2">
        <f>apr_24!L29</f>
        <v>0</v>
      </c>
      <c r="D32" s="2">
        <f>may_24!$L29</f>
        <v>0</v>
      </c>
      <c r="E32" s="2">
        <f>jun_24!$L29</f>
        <v>0</v>
      </c>
      <c r="F32" s="2">
        <f>jul_24!$L29</f>
        <v>0</v>
      </c>
      <c r="G32" s="2">
        <f>aug_24!$L29</f>
        <v>0</v>
      </c>
      <c r="H32" s="2">
        <f>sep_24!$L29</f>
        <v>0</v>
      </c>
      <c r="I32" s="2">
        <f>oct_24!$L29</f>
        <v>0</v>
      </c>
      <c r="J32" s="2">
        <f>nov_24!$L29</f>
        <v>0</v>
      </c>
      <c r="K32" s="2">
        <f>dec_24!$L29</f>
        <v>0</v>
      </c>
      <c r="L32" s="2">
        <f>jan_25!$L29</f>
        <v>0</v>
      </c>
      <c r="M32" s="2">
        <f>feb_25!$L29</f>
        <v>622.02</v>
      </c>
      <c r="N32" s="2">
        <f>mar_25!$L29</f>
        <v>11482.220000000001</v>
      </c>
      <c r="O32" s="2">
        <f>apr_25!$L29</f>
        <v>10087.279999999999</v>
      </c>
      <c r="P32" s="2">
        <f>may_25!$L29</f>
        <v>12910.079999999998</v>
      </c>
      <c r="Q32" s="2">
        <f>jun_25!$L29</f>
        <v>11267.57</v>
      </c>
      <c r="R32" s="2">
        <f>jul_25!$L29</f>
        <v>10258.83</v>
      </c>
      <c r="S32" s="2">
        <f>aug_25!$L29</f>
        <v>7640.24</v>
      </c>
      <c r="T32" s="2">
        <f>sep_25!$L29</f>
        <v>10195.700000000001</v>
      </c>
      <c r="U32" s="2">
        <f>oct_25!$L29</f>
        <v>15840.25</v>
      </c>
      <c r="V32" s="2">
        <f>nov_25!$L31</f>
        <v>16918.29</v>
      </c>
      <c r="W32" s="17">
        <f>dec_25!L31</f>
        <v>22560.739999999998</v>
      </c>
      <c r="X32" s="18">
        <f>jan_26!L32</f>
        <v>19056.25</v>
      </c>
    </row>
    <row r="33" spans="1:24" x14ac:dyDescent="0.35">
      <c r="A33" s="8" t="s">
        <v>39</v>
      </c>
      <c r="B33" s="2">
        <f>mar_24!L30</f>
        <v>0</v>
      </c>
      <c r="C33" s="2">
        <f>apr_24!L30</f>
        <v>0</v>
      </c>
      <c r="D33" s="2">
        <f>may_24!$L30</f>
        <v>0</v>
      </c>
      <c r="E33" s="2">
        <f>jun_24!$L30</f>
        <v>0</v>
      </c>
      <c r="F33" s="2">
        <f>jul_24!$L30</f>
        <v>0</v>
      </c>
      <c r="G33" s="2">
        <f>aug_24!$L30</f>
        <v>0</v>
      </c>
      <c r="H33" s="2">
        <f>sep_24!$L30</f>
        <v>0</v>
      </c>
      <c r="I33" s="2">
        <f>oct_24!$L30</f>
        <v>0</v>
      </c>
      <c r="J33" s="2">
        <f>nov_24!$L30</f>
        <v>0</v>
      </c>
      <c r="K33" s="2">
        <f>dec_24!$L30</f>
        <v>0</v>
      </c>
      <c r="L33" s="2">
        <f>jan_25!$L30</f>
        <v>0</v>
      </c>
      <c r="M33" s="2">
        <f>feb_25!$L30</f>
        <v>0</v>
      </c>
      <c r="N33" s="2">
        <f>mar_25!$L30</f>
        <v>0</v>
      </c>
      <c r="O33" s="2">
        <f>apr_25!$L30</f>
        <v>0</v>
      </c>
      <c r="P33" s="2">
        <f>may_25!$L30</f>
        <v>0</v>
      </c>
      <c r="Q33" s="2">
        <f>jun_25!$L30</f>
        <v>0</v>
      </c>
      <c r="R33" s="2">
        <f>jul_25!$L30</f>
        <v>15272.97</v>
      </c>
      <c r="S33" s="2">
        <f>aug_25!$L30</f>
        <v>20564.98</v>
      </c>
      <c r="T33" s="2">
        <f>sep_25!$L30</f>
        <v>18242.760000000002</v>
      </c>
      <c r="U33" s="2">
        <f>oct_25!$L30</f>
        <v>21108.07</v>
      </c>
      <c r="V33" s="2">
        <f>nov_25!$L32</f>
        <v>21840.12</v>
      </c>
      <c r="W33" s="17">
        <f>dec_25!L32</f>
        <v>23158.46</v>
      </c>
      <c r="X33" s="18">
        <f>jan_26!L33</f>
        <v>24367.57</v>
      </c>
    </row>
    <row r="34" spans="1:24" x14ac:dyDescent="0.35">
      <c r="A34" s="8" t="s">
        <v>40</v>
      </c>
      <c r="B34" s="2">
        <f>mar_24!L31</f>
        <v>0</v>
      </c>
      <c r="C34" s="2">
        <f>apr_24!L31</f>
        <v>0</v>
      </c>
      <c r="D34" s="2">
        <f>may_24!$L31</f>
        <v>0</v>
      </c>
      <c r="E34" s="2">
        <f>jun_24!$L31</f>
        <v>0</v>
      </c>
      <c r="F34" s="2">
        <f>jul_24!$L31</f>
        <v>0</v>
      </c>
      <c r="G34" s="2">
        <f>aug_24!$L31</f>
        <v>0</v>
      </c>
      <c r="H34" s="2">
        <f>sep_24!$L31</f>
        <v>0</v>
      </c>
      <c r="I34" s="2">
        <f>oct_24!$L31</f>
        <v>0</v>
      </c>
      <c r="J34" s="2">
        <f>nov_24!$L31</f>
        <v>0</v>
      </c>
      <c r="K34" s="2">
        <f>dec_24!$L31</f>
        <v>27342.67</v>
      </c>
      <c r="L34" s="2">
        <f>jan_25!$L31</f>
        <v>32636.699999999997</v>
      </c>
      <c r="M34" s="2">
        <f>feb_25!$L31</f>
        <v>22884.82</v>
      </c>
      <c r="N34" s="2">
        <f>mar_25!$L31</f>
        <v>24683.32</v>
      </c>
      <c r="O34" s="2">
        <f>apr_25!$L31</f>
        <v>26264.71</v>
      </c>
      <c r="P34" s="2">
        <f>may_25!$L31</f>
        <v>27252.9</v>
      </c>
      <c r="Q34" s="2">
        <f>jun_25!$L31</f>
        <v>27129.469999999998</v>
      </c>
      <c r="R34" s="2">
        <f>jul_25!$L31</f>
        <v>21917.799999999996</v>
      </c>
      <c r="S34" s="2">
        <f>aug_25!$L31</f>
        <v>25585.259999999995</v>
      </c>
      <c r="T34" s="2">
        <f>sep_25!$L31</f>
        <v>27710.870000000003</v>
      </c>
      <c r="U34" s="2">
        <f>oct_25!$L31</f>
        <v>29935.72</v>
      </c>
      <c r="V34" s="2">
        <f>nov_25!$L33</f>
        <v>33233.5</v>
      </c>
      <c r="W34" s="17">
        <f>dec_25!L33</f>
        <v>38442.259999999995</v>
      </c>
      <c r="X34" s="18">
        <f>jan_26!L34</f>
        <v>30595.489999999998</v>
      </c>
    </row>
    <row r="35" spans="1:24" x14ac:dyDescent="0.35">
      <c r="A35" s="8" t="s">
        <v>41</v>
      </c>
      <c r="B35" s="2">
        <f>mar_24!L32</f>
        <v>0</v>
      </c>
      <c r="C35" s="2">
        <f>apr_24!L32</f>
        <v>0</v>
      </c>
      <c r="D35" s="2">
        <f>may_24!$L32</f>
        <v>0</v>
      </c>
      <c r="E35" s="2">
        <f>jun_24!$L32</f>
        <v>0</v>
      </c>
      <c r="F35" s="2">
        <f>jul_24!$L32</f>
        <v>0</v>
      </c>
      <c r="G35" s="2">
        <f>aug_24!$L32</f>
        <v>0</v>
      </c>
      <c r="H35" s="2">
        <f>sep_24!$L32</f>
        <v>0</v>
      </c>
      <c r="I35" s="2">
        <f>oct_24!$L32</f>
        <v>0</v>
      </c>
      <c r="J35" s="2">
        <f>nov_24!$L32</f>
        <v>0</v>
      </c>
      <c r="K35" s="2">
        <f>dec_24!$L32</f>
        <v>0</v>
      </c>
      <c r="L35" s="2">
        <f>jan_25!$L32</f>
        <v>0</v>
      </c>
      <c r="M35" s="2">
        <f>feb_25!$L32</f>
        <v>0</v>
      </c>
      <c r="N35" s="2">
        <f>mar_25!$L32</f>
        <v>0</v>
      </c>
      <c r="O35" s="2">
        <f>apr_25!$L32</f>
        <v>0</v>
      </c>
      <c r="P35" s="2">
        <f>may_25!$L32</f>
        <v>0</v>
      </c>
      <c r="Q35" s="2">
        <f>jun_25!$L32</f>
        <v>0</v>
      </c>
      <c r="R35" s="2">
        <f>jul_25!$L32</f>
        <v>19710.27</v>
      </c>
      <c r="S35" s="2">
        <f>aug_25!$L32</f>
        <v>26396.97</v>
      </c>
      <c r="T35" s="2">
        <f>sep_25!$L32</f>
        <v>25468.260000000002</v>
      </c>
      <c r="U35" s="2">
        <f>oct_25!$L32</f>
        <v>29234.739999999998</v>
      </c>
      <c r="V35" s="2">
        <f>nov_25!$L34</f>
        <v>34905.83</v>
      </c>
      <c r="W35" s="17">
        <f>dec_25!L34</f>
        <v>26835.68</v>
      </c>
      <c r="X35" s="18">
        <f>jan_26!L35</f>
        <v>26225.77</v>
      </c>
    </row>
    <row r="36" spans="1:24" x14ac:dyDescent="0.35">
      <c r="A36" s="8" t="s">
        <v>42</v>
      </c>
      <c r="B36" s="2">
        <f>mar_24!L33</f>
        <v>0</v>
      </c>
      <c r="C36" s="2">
        <f>apr_24!L33</f>
        <v>0</v>
      </c>
      <c r="D36" s="2">
        <f>may_24!$L33</f>
        <v>0</v>
      </c>
      <c r="E36" s="2">
        <f>jun_24!$L33</f>
        <v>0</v>
      </c>
      <c r="F36" s="2">
        <f>jul_24!$L33</f>
        <v>0</v>
      </c>
      <c r="G36" s="2">
        <f>aug_24!$L33</f>
        <v>0</v>
      </c>
      <c r="H36" s="2">
        <f>sep_24!$L33</f>
        <v>0</v>
      </c>
      <c r="I36" s="2">
        <f>oct_24!$L33</f>
        <v>0</v>
      </c>
      <c r="J36" s="2">
        <f>nov_24!$L33</f>
        <v>0</v>
      </c>
      <c r="K36" s="2">
        <f>dec_24!$L33</f>
        <v>0</v>
      </c>
      <c r="L36" s="2">
        <f>jan_25!$L33</f>
        <v>0</v>
      </c>
      <c r="M36" s="2">
        <f>feb_25!$L33</f>
        <v>0</v>
      </c>
      <c r="N36" s="2">
        <f>mar_25!$L33</f>
        <v>0</v>
      </c>
      <c r="O36" s="2">
        <f>apr_25!$L33</f>
        <v>0</v>
      </c>
      <c r="P36" s="2">
        <f>may_25!$L33</f>
        <v>0</v>
      </c>
      <c r="Q36" s="2">
        <f>jun_25!$L33</f>
        <v>0</v>
      </c>
      <c r="R36" s="2">
        <f>jul_25!$L33</f>
        <v>0</v>
      </c>
      <c r="S36" s="2">
        <f>aug_25!$L33</f>
        <v>2154.02</v>
      </c>
      <c r="T36" s="2">
        <f>sep_25!$L33</f>
        <v>6006.49</v>
      </c>
      <c r="U36" s="2">
        <f>oct_25!$L33</f>
        <v>7366.5700000000006</v>
      </c>
      <c r="V36" s="2">
        <f>nov_25!$L35</f>
        <v>7599.0999999999985</v>
      </c>
      <c r="W36" s="17">
        <f>dec_25!L35</f>
        <v>11706.039999999999</v>
      </c>
      <c r="X36" s="18">
        <f>jan_26!L36</f>
        <v>11630.15</v>
      </c>
    </row>
    <row r="37" spans="1:24" x14ac:dyDescent="0.35">
      <c r="A37" s="8" t="s">
        <v>43</v>
      </c>
      <c r="B37" s="2">
        <f>mar_24!L34</f>
        <v>0</v>
      </c>
      <c r="C37" s="2">
        <f>apr_24!L34</f>
        <v>0</v>
      </c>
      <c r="D37" s="2">
        <f>may_24!$L34</f>
        <v>0</v>
      </c>
      <c r="E37" s="2">
        <f>jun_24!$L34</f>
        <v>0</v>
      </c>
      <c r="F37" s="2">
        <f>jul_24!$L34</f>
        <v>0</v>
      </c>
      <c r="G37" s="2">
        <f>aug_24!$L34</f>
        <v>0</v>
      </c>
      <c r="H37" s="2">
        <f>sep_24!$L34</f>
        <v>2896.72</v>
      </c>
      <c r="I37" s="2">
        <f>oct_24!$L34</f>
        <v>17332.22</v>
      </c>
      <c r="J37" s="2">
        <f>nov_24!$L34</f>
        <v>17598.600000000002</v>
      </c>
      <c r="K37" s="2">
        <f>dec_24!$L34</f>
        <v>22103.75</v>
      </c>
      <c r="L37" s="2">
        <f>jan_25!$L34</f>
        <v>22166.699999999997</v>
      </c>
      <c r="M37" s="2">
        <f>feb_25!$L34</f>
        <v>14822.509999999998</v>
      </c>
      <c r="N37" s="2">
        <f>mar_25!$L34</f>
        <v>18772.989999999998</v>
      </c>
      <c r="O37" s="2">
        <f>apr_25!$L34</f>
        <v>19881.310000000001</v>
      </c>
      <c r="P37" s="2">
        <f>may_25!$L34</f>
        <v>20680.21</v>
      </c>
      <c r="Q37" s="2">
        <f>jun_25!$L34</f>
        <v>20874.43</v>
      </c>
      <c r="R37" s="2">
        <f>jul_25!$L34</f>
        <v>19363.21</v>
      </c>
      <c r="S37" s="2">
        <f>aug_25!$L34</f>
        <v>1737.5200000000002</v>
      </c>
      <c r="T37" s="2">
        <f>sep_25!$L34</f>
        <v>10583.37</v>
      </c>
      <c r="U37" s="2">
        <f>oct_25!$L34</f>
        <v>30417.45</v>
      </c>
      <c r="V37" s="2">
        <f>nov_25!$L36</f>
        <v>31037.679999999993</v>
      </c>
      <c r="W37" s="17">
        <f>dec_25!L36</f>
        <v>29189.69</v>
      </c>
      <c r="X37" s="18">
        <f>jan_26!L37</f>
        <v>23040.879999999997</v>
      </c>
    </row>
    <row r="38" spans="1:24" x14ac:dyDescent="0.35">
      <c r="A38" s="8" t="s">
        <v>44</v>
      </c>
      <c r="B38" s="2">
        <f>mar_24!L35</f>
        <v>0</v>
      </c>
      <c r="C38" s="2">
        <f>apr_24!L35</f>
        <v>0</v>
      </c>
      <c r="D38" s="2">
        <f>may_24!$L35</f>
        <v>0</v>
      </c>
      <c r="E38" s="2">
        <f>jun_24!$L35</f>
        <v>0</v>
      </c>
      <c r="F38" s="2">
        <f>jul_24!$L35</f>
        <v>0</v>
      </c>
      <c r="G38" s="2">
        <f>aug_24!$L35</f>
        <v>0</v>
      </c>
      <c r="H38" s="2">
        <f>sep_24!$L35</f>
        <v>0</v>
      </c>
      <c r="I38" s="2">
        <f>oct_24!$L35</f>
        <v>0</v>
      </c>
      <c r="J38" s="2">
        <f>nov_24!$L35</f>
        <v>0</v>
      </c>
      <c r="K38" s="2">
        <f>dec_24!$L35</f>
        <v>0</v>
      </c>
      <c r="L38" s="2">
        <f>jan_25!$L35</f>
        <v>0</v>
      </c>
      <c r="M38" s="2">
        <f>feb_25!$L35</f>
        <v>0</v>
      </c>
      <c r="N38" s="2">
        <f>mar_25!$L35</f>
        <v>0</v>
      </c>
      <c r="O38" s="2">
        <f>apr_25!$L35</f>
        <v>0</v>
      </c>
      <c r="P38" s="2">
        <f>may_25!$L35</f>
        <v>0</v>
      </c>
      <c r="Q38" s="2">
        <f>jun_25!$L35</f>
        <v>0</v>
      </c>
      <c r="R38" s="2">
        <f>jul_25!$L35</f>
        <v>32229.73</v>
      </c>
      <c r="S38" s="2">
        <f>aug_25!$L35</f>
        <v>32603.82</v>
      </c>
      <c r="T38" s="2">
        <f>sep_25!$L35</f>
        <v>34308.930000000008</v>
      </c>
      <c r="U38" s="2">
        <f>oct_25!$L35</f>
        <v>39404.299999999996</v>
      </c>
      <c r="V38" s="2">
        <f>nov_25!$L37</f>
        <v>45960.15</v>
      </c>
      <c r="W38" s="17">
        <f>dec_25!L37</f>
        <v>45467.229999999996</v>
      </c>
      <c r="X38" s="18">
        <f>jan_26!L38</f>
        <v>42274.67</v>
      </c>
    </row>
    <row r="39" spans="1:24" x14ac:dyDescent="0.35">
      <c r="A39" s="8" t="s">
        <v>45</v>
      </c>
      <c r="B39" s="2">
        <f>mar_24!L36</f>
        <v>0</v>
      </c>
      <c r="C39" s="2">
        <f>apr_24!L36</f>
        <v>8800.7999999999993</v>
      </c>
      <c r="D39" s="2">
        <f>may_24!$L36</f>
        <v>13545.91</v>
      </c>
      <c r="E39" s="2">
        <f>jun_24!$L36</f>
        <v>16940.12</v>
      </c>
      <c r="F39" s="2">
        <f>jul_24!$L36</f>
        <v>17223.22</v>
      </c>
      <c r="G39" s="2">
        <f>aug_24!$L36</f>
        <v>16819.75</v>
      </c>
      <c r="H39" s="2">
        <f>sep_24!$L36</f>
        <v>18140.169999999998</v>
      </c>
      <c r="I39" s="2">
        <f>oct_24!$L36</f>
        <v>18810.07</v>
      </c>
      <c r="J39" s="2">
        <f>nov_24!$L36</f>
        <v>18473.68</v>
      </c>
      <c r="K39" s="2">
        <f>dec_24!$L36</f>
        <v>21434.720000000001</v>
      </c>
      <c r="L39" s="2">
        <f>jan_25!$L36</f>
        <v>12208.53</v>
      </c>
      <c r="M39" s="2">
        <f>feb_25!$L36</f>
        <v>21587.25</v>
      </c>
      <c r="N39" s="2">
        <f>mar_25!$L36</f>
        <v>27098.93</v>
      </c>
      <c r="O39" s="2">
        <f>apr_25!$L36</f>
        <v>31849.190000000002</v>
      </c>
      <c r="P39" s="2">
        <f>may_25!$L36</f>
        <v>37682.17</v>
      </c>
      <c r="Q39" s="2">
        <f>jun_25!$L36</f>
        <v>42369.75</v>
      </c>
      <c r="R39" s="2">
        <f>jul_25!$L36</f>
        <v>43329.5</v>
      </c>
      <c r="S39" s="2">
        <f>aug_25!$L36</f>
        <v>46954.679999999993</v>
      </c>
      <c r="T39" s="2">
        <f>sep_25!$L36</f>
        <v>48423.72</v>
      </c>
      <c r="U39" s="2">
        <f>oct_25!$L36</f>
        <v>48757.1</v>
      </c>
      <c r="V39" s="2">
        <f>nov_25!$L38</f>
        <v>44631.56</v>
      </c>
      <c r="W39" s="17">
        <f>dec_25!L38</f>
        <v>36089.329999999994</v>
      </c>
      <c r="X39" s="18">
        <f>jan_26!L39</f>
        <v>41314.589999999997</v>
      </c>
    </row>
    <row r="40" spans="1:24" x14ac:dyDescent="0.35">
      <c r="A40" s="8" t="s">
        <v>46</v>
      </c>
      <c r="B40" s="2">
        <f>mar_24!L37</f>
        <v>0</v>
      </c>
      <c r="C40" s="2">
        <f>apr_24!L37</f>
        <v>0</v>
      </c>
      <c r="D40" s="2">
        <f>may_24!$L37</f>
        <v>0</v>
      </c>
      <c r="E40" s="2">
        <f>jun_24!$L37</f>
        <v>0</v>
      </c>
      <c r="F40" s="2">
        <f>jul_24!$L37</f>
        <v>0</v>
      </c>
      <c r="G40" s="2">
        <f>aug_24!$L37</f>
        <v>0</v>
      </c>
      <c r="H40" s="2">
        <f>sep_24!$L37</f>
        <v>0</v>
      </c>
      <c r="I40" s="2">
        <f>oct_24!$L37</f>
        <v>0</v>
      </c>
      <c r="J40" s="2">
        <f>nov_24!$L37</f>
        <v>0</v>
      </c>
      <c r="K40" s="2">
        <f>dec_24!$L37</f>
        <v>0</v>
      </c>
      <c r="L40" s="2">
        <f>jan_25!$L37</f>
        <v>0</v>
      </c>
      <c r="M40" s="2">
        <f>feb_25!$L37</f>
        <v>0</v>
      </c>
      <c r="N40" s="2">
        <f>mar_25!$L37</f>
        <v>0</v>
      </c>
      <c r="O40" s="2">
        <f>apr_25!$L37</f>
        <v>0</v>
      </c>
      <c r="P40" s="2">
        <f>may_25!$L37</f>
        <v>0</v>
      </c>
      <c r="Q40" s="2">
        <f>jun_25!$L37</f>
        <v>0</v>
      </c>
      <c r="R40" s="2">
        <f>jul_25!$L37</f>
        <v>0</v>
      </c>
      <c r="S40" s="2">
        <f>aug_25!$L37</f>
        <v>0</v>
      </c>
      <c r="T40" s="2">
        <f>sep_25!$L37</f>
        <v>0</v>
      </c>
      <c r="U40" s="2">
        <f>oct_25!$L37</f>
        <v>4002.1900000000005</v>
      </c>
      <c r="V40" s="2">
        <f>nov_25!$L39</f>
        <v>28194.61</v>
      </c>
      <c r="W40" s="17">
        <f>dec_25!L39</f>
        <v>26659.119999999999</v>
      </c>
      <c r="X40" s="18">
        <f>jan_26!L40</f>
        <v>20663.39</v>
      </c>
    </row>
    <row r="41" spans="1:24" x14ac:dyDescent="0.35">
      <c r="A41" s="8" t="s">
        <v>47</v>
      </c>
      <c r="B41" s="2">
        <f>mar_24!L38</f>
        <v>0</v>
      </c>
      <c r="C41" s="2">
        <f>apr_24!L38</f>
        <v>0</v>
      </c>
      <c r="D41" s="2">
        <f>may_24!$L38</f>
        <v>0</v>
      </c>
      <c r="E41" s="2">
        <f>jun_24!$L38</f>
        <v>0</v>
      </c>
      <c r="F41" s="2">
        <f>jul_24!$L38</f>
        <v>0</v>
      </c>
      <c r="G41" s="2">
        <f>aug_24!$L38</f>
        <v>0</v>
      </c>
      <c r="H41" s="2">
        <f>sep_24!$L38</f>
        <v>0</v>
      </c>
      <c r="I41" s="2">
        <f>oct_24!$L38</f>
        <v>0</v>
      </c>
      <c r="J41" s="2">
        <f>nov_24!$L38</f>
        <v>0</v>
      </c>
      <c r="K41" s="2">
        <f>dec_24!$L38</f>
        <v>0</v>
      </c>
      <c r="L41" s="2">
        <f>jan_25!$L38</f>
        <v>0</v>
      </c>
      <c r="M41" s="2">
        <f>feb_25!$L38</f>
        <v>0</v>
      </c>
      <c r="N41" s="2">
        <f>mar_25!$L38</f>
        <v>0</v>
      </c>
      <c r="O41" s="2">
        <f>apr_25!$L38</f>
        <v>0</v>
      </c>
      <c r="P41" s="2">
        <f>may_25!$L38</f>
        <v>0</v>
      </c>
      <c r="Q41" s="2">
        <f>jun_25!$L38</f>
        <v>0</v>
      </c>
      <c r="R41" s="2">
        <f>jul_25!$L38</f>
        <v>16833.02</v>
      </c>
      <c r="S41" s="2">
        <f>aug_25!$L38</f>
        <v>18476.64</v>
      </c>
      <c r="T41" s="2">
        <f>sep_25!$L38</f>
        <v>19976.809999999998</v>
      </c>
      <c r="U41" s="2">
        <f>oct_25!$L38</f>
        <v>23298.03</v>
      </c>
      <c r="V41" s="2">
        <f>nov_25!$L40</f>
        <v>27531.329999999998</v>
      </c>
      <c r="W41" s="17">
        <f>dec_25!L40</f>
        <v>23439.11</v>
      </c>
      <c r="X41" s="18">
        <f>jan_26!L41</f>
        <v>22077.53</v>
      </c>
    </row>
    <row r="42" spans="1:24" x14ac:dyDescent="0.35">
      <c r="A42" s="8" t="s">
        <v>48</v>
      </c>
      <c r="B42" s="2">
        <f>mar_24!L39</f>
        <v>0</v>
      </c>
      <c r="C42" s="2">
        <f>apr_24!L39</f>
        <v>0</v>
      </c>
      <c r="D42" s="2">
        <f>may_24!$L39</f>
        <v>0</v>
      </c>
      <c r="E42" s="2">
        <f>jun_24!$L39</f>
        <v>0</v>
      </c>
      <c r="F42" s="2">
        <f>jul_24!$L39</f>
        <v>0</v>
      </c>
      <c r="G42" s="2">
        <f>aug_24!$L39</f>
        <v>0</v>
      </c>
      <c r="H42" s="2">
        <f>sep_24!$L39</f>
        <v>0</v>
      </c>
      <c r="I42" s="2">
        <f>oct_24!$L39</f>
        <v>0</v>
      </c>
      <c r="J42" s="2">
        <f>nov_24!$L39</f>
        <v>0</v>
      </c>
      <c r="K42" s="2">
        <f>dec_24!$L39</f>
        <v>0</v>
      </c>
      <c r="L42" s="2">
        <f>jan_25!$L39</f>
        <v>0</v>
      </c>
      <c r="M42" s="2">
        <f>feb_25!$L39</f>
        <v>0</v>
      </c>
      <c r="N42" s="2">
        <f>mar_25!$L39</f>
        <v>0</v>
      </c>
      <c r="O42" s="2">
        <f>apr_25!$L39</f>
        <v>0</v>
      </c>
      <c r="P42" s="2">
        <f>may_25!$L39</f>
        <v>0</v>
      </c>
      <c r="Q42" s="2">
        <f>jun_25!$L39</f>
        <v>0</v>
      </c>
      <c r="R42" s="2">
        <f>jul_25!$L39</f>
        <v>0</v>
      </c>
      <c r="S42" s="2">
        <f>aug_25!$L39</f>
        <v>0</v>
      </c>
      <c r="T42" s="2">
        <f>sep_25!$L39</f>
        <v>6589.58</v>
      </c>
      <c r="U42" s="2">
        <f>oct_25!$L39</f>
        <v>8867.4600000000009</v>
      </c>
      <c r="V42" s="2">
        <f>nov_25!$L41</f>
        <v>8227.4699999999993</v>
      </c>
      <c r="W42" s="17">
        <f>dec_25!L41</f>
        <v>8990.32</v>
      </c>
      <c r="X42" s="18">
        <f>jan_26!L42</f>
        <v>8501.06</v>
      </c>
    </row>
    <row r="43" spans="1:24" x14ac:dyDescent="0.35">
      <c r="A43" s="8" t="s">
        <v>49</v>
      </c>
      <c r="B43" s="2">
        <f>mar_24!L40</f>
        <v>0</v>
      </c>
      <c r="C43" s="2">
        <f>apr_24!L40</f>
        <v>0</v>
      </c>
      <c r="D43" s="2">
        <f>may_24!$L40</f>
        <v>0</v>
      </c>
      <c r="E43" s="2">
        <f>jun_24!$L40</f>
        <v>0</v>
      </c>
      <c r="F43" s="2">
        <f>jul_24!$L40</f>
        <v>0</v>
      </c>
      <c r="G43" s="2">
        <f>aug_24!$L40</f>
        <v>0</v>
      </c>
      <c r="H43" s="2">
        <f>sep_24!$L40</f>
        <v>0</v>
      </c>
      <c r="I43" s="2">
        <f>oct_24!$L40</f>
        <v>0</v>
      </c>
      <c r="J43" s="2">
        <f>nov_24!$L40</f>
        <v>0</v>
      </c>
      <c r="K43" s="2">
        <f>dec_24!$L40</f>
        <v>2976.78</v>
      </c>
      <c r="L43" s="2">
        <f>jan_25!$L40</f>
        <v>8231.65</v>
      </c>
      <c r="M43" s="2">
        <f>feb_25!$L40</f>
        <v>3267.33</v>
      </c>
      <c r="N43" s="2">
        <f>mar_25!$L40</f>
        <v>1991.7199999999998</v>
      </c>
      <c r="O43" s="2">
        <f>apr_25!$L40</f>
        <v>3918.1899999999996</v>
      </c>
      <c r="P43" s="2">
        <f>may_25!$L40</f>
        <v>3091.8</v>
      </c>
      <c r="Q43" s="2">
        <f>jun_25!$L40</f>
        <v>6372.8799999999992</v>
      </c>
      <c r="R43" s="2">
        <f>jul_25!$L40</f>
        <v>4176.82</v>
      </c>
      <c r="S43" s="2">
        <f>aug_25!$L40</f>
        <v>3144.87</v>
      </c>
      <c r="T43" s="2">
        <f>sep_25!$L40</f>
        <v>3733.6400000000003</v>
      </c>
      <c r="U43" s="2">
        <f>oct_25!$L40</f>
        <v>11604.66</v>
      </c>
      <c r="V43" s="2">
        <f>nov_25!$L42</f>
        <v>12518.609999999999</v>
      </c>
      <c r="W43" s="17">
        <f>dec_25!L42</f>
        <v>16024</v>
      </c>
      <c r="X43" s="18">
        <f>jan_26!L43</f>
        <v>11244.2</v>
      </c>
    </row>
    <row r="44" spans="1:24" x14ac:dyDescent="0.35">
      <c r="A44" s="8" t="s">
        <v>50</v>
      </c>
      <c r="B44" s="2">
        <f>mar_24!L41</f>
        <v>7497.9700000000012</v>
      </c>
      <c r="C44" s="2">
        <f>apr_24!L41</f>
        <v>21444.93</v>
      </c>
      <c r="D44" s="2">
        <f>may_24!$L41</f>
        <v>21194.409999999996</v>
      </c>
      <c r="E44" s="2">
        <f>jun_24!$L41</f>
        <v>25669.529999999995</v>
      </c>
      <c r="F44" s="2">
        <f>jul_24!$L41</f>
        <v>23891.8</v>
      </c>
      <c r="G44" s="2">
        <f>aug_24!$L41</f>
        <v>22491.089999999997</v>
      </c>
      <c r="H44" s="2">
        <f>sep_24!$L41</f>
        <v>29118.39</v>
      </c>
      <c r="I44" s="2">
        <f>oct_24!$L41</f>
        <v>29136.089999999997</v>
      </c>
      <c r="J44" s="2">
        <f>nov_24!$L41</f>
        <v>28279.029999999995</v>
      </c>
      <c r="K44" s="2">
        <f>dec_24!$L41</f>
        <v>21433.61</v>
      </c>
      <c r="L44" s="2">
        <f>jan_25!$L41</f>
        <v>24964.12</v>
      </c>
      <c r="M44" s="2">
        <f>feb_25!$L41</f>
        <v>21856.11</v>
      </c>
      <c r="N44" s="2">
        <f>mar_25!$L41</f>
        <v>24880.079999999998</v>
      </c>
      <c r="O44" s="2">
        <f>apr_25!$L41</f>
        <v>29449.389999999996</v>
      </c>
      <c r="P44" s="2">
        <f>may_25!$L41</f>
        <v>32776.070000000007</v>
      </c>
      <c r="Q44" s="2">
        <f>jun_25!$L41</f>
        <v>35040.03</v>
      </c>
      <c r="R44" s="2">
        <f>jul_25!$L41</f>
        <v>42155.729999999996</v>
      </c>
      <c r="S44" s="2">
        <f>aug_25!$L41</f>
        <v>35397.040000000001</v>
      </c>
      <c r="T44" s="2">
        <f>sep_25!$L41</f>
        <v>39075.75</v>
      </c>
      <c r="U44" s="2">
        <f>oct_25!$L41</f>
        <v>41890.589999999997</v>
      </c>
      <c r="V44" s="2">
        <f>nov_25!$L43</f>
        <v>40582.15</v>
      </c>
      <c r="W44" s="17">
        <f>dec_25!L43</f>
        <v>45324.11</v>
      </c>
      <c r="X44" s="18">
        <f>jan_26!L44</f>
        <v>40526.42</v>
      </c>
    </row>
    <row r="45" spans="1:24" x14ac:dyDescent="0.35">
      <c r="A45" s="8" t="s">
        <v>51</v>
      </c>
      <c r="B45" s="2">
        <f>mar_24!L42</f>
        <v>0</v>
      </c>
      <c r="C45" s="2">
        <f>apr_24!L42</f>
        <v>0</v>
      </c>
      <c r="D45" s="2">
        <f>may_24!$L42</f>
        <v>0</v>
      </c>
      <c r="E45" s="2">
        <f>jun_24!$L42</f>
        <v>0</v>
      </c>
      <c r="F45" s="2">
        <f>jul_24!$L42</f>
        <v>0</v>
      </c>
      <c r="G45" s="2">
        <f>aug_24!$L42</f>
        <v>0</v>
      </c>
      <c r="H45" s="2">
        <f>sep_24!$L42</f>
        <v>0</v>
      </c>
      <c r="I45" s="2">
        <f>oct_24!$L42</f>
        <v>10002.61</v>
      </c>
      <c r="J45" s="2">
        <f>nov_24!$L42</f>
        <v>13333.94</v>
      </c>
      <c r="K45" s="2">
        <f>dec_24!$L42</f>
        <v>17053.260000000002</v>
      </c>
      <c r="L45" s="2">
        <f>jan_25!$L42</f>
        <v>15917.2</v>
      </c>
      <c r="M45" s="2">
        <f>feb_25!$L42</f>
        <v>12341.890000000001</v>
      </c>
      <c r="N45" s="2">
        <f>mar_25!$L42</f>
        <v>15546.2</v>
      </c>
      <c r="O45" s="2">
        <f>apr_25!$L42</f>
        <v>15455.869999999999</v>
      </c>
      <c r="P45" s="2">
        <f>may_25!$L42</f>
        <v>15340.36</v>
      </c>
      <c r="Q45" s="2">
        <f>jun_25!$L42</f>
        <v>16374.62</v>
      </c>
      <c r="R45" s="2">
        <f>jul_25!$L42</f>
        <v>17400.449999999997</v>
      </c>
      <c r="S45" s="2">
        <f>aug_25!$L42</f>
        <v>17833.23</v>
      </c>
      <c r="T45" s="2">
        <f>sep_25!$L42</f>
        <v>16181.670000000002</v>
      </c>
      <c r="U45" s="2">
        <f>oct_25!$L42</f>
        <v>25270.01</v>
      </c>
      <c r="V45" s="2">
        <f>nov_25!$L44</f>
        <v>25826.910000000003</v>
      </c>
      <c r="W45" s="17">
        <f>dec_25!L44</f>
        <v>23786.399999999998</v>
      </c>
      <c r="X45" s="18">
        <f>jan_26!L45</f>
        <v>24556.2</v>
      </c>
    </row>
    <row r="46" spans="1:24" x14ac:dyDescent="0.35">
      <c r="A46" s="8" t="s">
        <v>52</v>
      </c>
      <c r="B46" s="2">
        <f>mar_24!L43</f>
        <v>0</v>
      </c>
      <c r="C46" s="2">
        <f>apr_24!L43</f>
        <v>0</v>
      </c>
      <c r="D46" s="2">
        <f>may_24!$L43</f>
        <v>0</v>
      </c>
      <c r="E46" s="2">
        <f>jun_24!$L43</f>
        <v>0</v>
      </c>
      <c r="F46" s="2">
        <f>jul_24!$L43</f>
        <v>12235.080000000002</v>
      </c>
      <c r="G46" s="2">
        <f>aug_24!$L43</f>
        <v>14107.86</v>
      </c>
      <c r="H46" s="2">
        <f>sep_24!$L43</f>
        <v>12261.68</v>
      </c>
      <c r="I46" s="2">
        <f>oct_24!$L43</f>
        <v>12622.759999999998</v>
      </c>
      <c r="J46" s="2">
        <f>nov_24!$L43</f>
        <v>13163.29</v>
      </c>
      <c r="K46" s="2">
        <f>dec_24!$L43</f>
        <v>12916.23</v>
      </c>
      <c r="L46" s="2">
        <f>jan_25!$L43</f>
        <v>10780.900000000001</v>
      </c>
      <c r="M46" s="2">
        <f>feb_25!$L43</f>
        <v>9686.48</v>
      </c>
      <c r="N46" s="2">
        <f>mar_25!$L43</f>
        <v>10808.869999999999</v>
      </c>
      <c r="O46" s="2">
        <f>apr_25!$L43</f>
        <v>12712.99</v>
      </c>
      <c r="P46" s="2">
        <f>may_25!$L43</f>
        <v>14649.18</v>
      </c>
      <c r="Q46" s="2">
        <f>jun_25!$L43</f>
        <v>14327.05</v>
      </c>
      <c r="R46" s="2">
        <f>jul_25!$L43</f>
        <v>13922.11</v>
      </c>
      <c r="S46" s="2">
        <f>aug_25!$L43</f>
        <v>15363.630000000001</v>
      </c>
      <c r="T46" s="2">
        <f>sep_25!$L43</f>
        <v>14216.56</v>
      </c>
      <c r="U46" s="2">
        <f>oct_25!$L43</f>
        <v>19910.289999999997</v>
      </c>
      <c r="V46" s="2">
        <f>nov_25!$L45</f>
        <v>16727.89</v>
      </c>
      <c r="W46" s="17">
        <f>dec_25!L45</f>
        <v>15698.490000000002</v>
      </c>
      <c r="X46" s="18">
        <f>jan_26!L46</f>
        <v>11901.72</v>
      </c>
    </row>
    <row r="47" spans="1:24" x14ac:dyDescent="0.35">
      <c r="A47" s="8" t="s">
        <v>53</v>
      </c>
      <c r="B47" s="2">
        <f>mar_24!L44</f>
        <v>0</v>
      </c>
      <c r="C47" s="2">
        <f>apr_24!L44</f>
        <v>0</v>
      </c>
      <c r="D47" s="2">
        <f>may_24!$L44</f>
        <v>0</v>
      </c>
      <c r="E47" s="2">
        <f>jun_24!$L44</f>
        <v>0</v>
      </c>
      <c r="F47" s="2">
        <f>jul_24!$L44</f>
        <v>0</v>
      </c>
      <c r="G47" s="2">
        <f>aug_24!$L44</f>
        <v>0</v>
      </c>
      <c r="H47" s="2">
        <f>sep_24!$L44</f>
        <v>0</v>
      </c>
      <c r="I47" s="2">
        <f>oct_24!$L44</f>
        <v>0</v>
      </c>
      <c r="J47" s="2">
        <f>nov_24!$L44</f>
        <v>0</v>
      </c>
      <c r="K47" s="2">
        <f>dec_24!$L44</f>
        <v>7828.2300000000014</v>
      </c>
      <c r="L47" s="2">
        <f>jan_25!$L44</f>
        <v>14716.990000000002</v>
      </c>
      <c r="M47" s="2">
        <f>feb_25!$L44</f>
        <v>9186.3000000000011</v>
      </c>
      <c r="N47" s="2">
        <f>mar_25!$L44</f>
        <v>11478.220000000001</v>
      </c>
      <c r="O47" s="2">
        <f>apr_25!$L44</f>
        <v>12980.150000000001</v>
      </c>
      <c r="P47" s="2">
        <f>may_25!$L44</f>
        <v>17704.38</v>
      </c>
      <c r="Q47" s="2">
        <f>jun_25!$L44</f>
        <v>11302.990000000002</v>
      </c>
      <c r="R47" s="2">
        <f>jul_25!$L44</f>
        <v>16041.81</v>
      </c>
      <c r="S47" s="2">
        <f>aug_25!$L44</f>
        <v>19473.580000000002</v>
      </c>
      <c r="T47" s="2">
        <f>sep_25!$L44</f>
        <v>18200.989999999998</v>
      </c>
      <c r="U47" s="2">
        <f>oct_25!$L44</f>
        <v>26705.93</v>
      </c>
      <c r="V47" s="2">
        <f>nov_25!$L46</f>
        <v>29587.85</v>
      </c>
      <c r="W47" s="17">
        <f>dec_25!L46</f>
        <v>31821.950000000004</v>
      </c>
      <c r="X47" s="18">
        <f>jan_26!L47</f>
        <v>29735.579999999998</v>
      </c>
    </row>
    <row r="48" spans="1:24" x14ac:dyDescent="0.35">
      <c r="A48" s="8" t="s">
        <v>54</v>
      </c>
      <c r="B48" s="2">
        <f>mar_24!L45</f>
        <v>0</v>
      </c>
      <c r="C48" s="2">
        <f>apr_24!L45</f>
        <v>0</v>
      </c>
      <c r="D48" s="2">
        <f>may_24!$L45</f>
        <v>0</v>
      </c>
      <c r="E48" s="2">
        <f>jun_24!$L45</f>
        <v>0</v>
      </c>
      <c r="F48" s="2">
        <f>jul_24!$L45</f>
        <v>0</v>
      </c>
      <c r="G48" s="2">
        <f>aug_24!$L45</f>
        <v>0</v>
      </c>
      <c r="H48" s="2">
        <f>sep_24!$L45</f>
        <v>599.32000000000005</v>
      </c>
      <c r="I48" s="2">
        <f>oct_24!$L45</f>
        <v>4182.42</v>
      </c>
      <c r="J48" s="2">
        <f>nov_24!$L45</f>
        <v>7587.0499999999993</v>
      </c>
      <c r="K48" s="2">
        <f>dec_24!$L45</f>
        <v>6831.35</v>
      </c>
      <c r="L48" s="2">
        <f>jan_25!$L45</f>
        <v>8027.6100000000006</v>
      </c>
      <c r="M48" s="2">
        <f>feb_25!$L45</f>
        <v>6666.42</v>
      </c>
      <c r="N48" s="2">
        <f>mar_25!$L45</f>
        <v>6438.88</v>
      </c>
      <c r="O48" s="2">
        <f>apr_25!$L45</f>
        <v>6670.32</v>
      </c>
      <c r="P48" s="2">
        <f>may_25!$L45</f>
        <v>6966.8900000000012</v>
      </c>
      <c r="Q48" s="2">
        <f>jun_25!$L45</f>
        <v>6071.4400000000005</v>
      </c>
      <c r="R48" s="2">
        <f>jul_25!$L45</f>
        <v>7642.2800000000007</v>
      </c>
      <c r="S48" s="2">
        <f>aug_25!$L45</f>
        <v>6530.7100000000009</v>
      </c>
      <c r="T48" s="2">
        <f>sep_25!$L45</f>
        <v>6583.22</v>
      </c>
      <c r="U48" s="2">
        <f>oct_25!$L45</f>
        <v>7001.03</v>
      </c>
      <c r="V48" s="2">
        <f>nov_25!$L47</f>
        <v>9178.82</v>
      </c>
      <c r="W48" s="17">
        <f>dec_25!L47</f>
        <v>9841.2799999999988</v>
      </c>
      <c r="X48" s="18">
        <f>jan_26!L48</f>
        <v>9999.2900000000009</v>
      </c>
    </row>
    <row r="49" spans="1:24" x14ac:dyDescent="0.35">
      <c r="A49" s="8" t="s">
        <v>55</v>
      </c>
      <c r="B49" s="2">
        <f>mar_24!L46</f>
        <v>0</v>
      </c>
      <c r="C49" s="2">
        <f>apr_24!L46</f>
        <v>0</v>
      </c>
      <c r="D49" s="2">
        <f>may_24!$L46</f>
        <v>0</v>
      </c>
      <c r="E49" s="2">
        <f>jun_24!$L46</f>
        <v>0</v>
      </c>
      <c r="F49" s="2">
        <f>jul_24!$L46</f>
        <v>0</v>
      </c>
      <c r="G49" s="2">
        <f>aug_24!$L46</f>
        <v>0</v>
      </c>
      <c r="H49" s="2">
        <f>sep_24!$L46</f>
        <v>0</v>
      </c>
      <c r="I49" s="2">
        <f>oct_24!$L46</f>
        <v>0</v>
      </c>
      <c r="J49" s="2">
        <f>nov_24!$L46</f>
        <v>0</v>
      </c>
      <c r="K49" s="2">
        <f>dec_24!$L46</f>
        <v>0</v>
      </c>
      <c r="L49" s="2">
        <f>jan_25!$L46</f>
        <v>0</v>
      </c>
      <c r="M49" s="2">
        <f>feb_25!$L46</f>
        <v>0</v>
      </c>
      <c r="N49" s="2">
        <f>mar_25!$L46</f>
        <v>0</v>
      </c>
      <c r="O49" s="2">
        <f>apr_25!$L46</f>
        <v>0</v>
      </c>
      <c r="P49" s="2">
        <f>may_25!$L46</f>
        <v>0</v>
      </c>
      <c r="Q49" s="2">
        <f>jun_25!$L46</f>
        <v>0</v>
      </c>
      <c r="R49" s="2">
        <f>jul_25!$L46</f>
        <v>5178.33</v>
      </c>
      <c r="S49" s="2">
        <f>aug_25!$L46</f>
        <v>20455.11</v>
      </c>
      <c r="T49" s="2">
        <f>sep_25!$L46</f>
        <v>20807.25</v>
      </c>
      <c r="U49" s="2">
        <f>oct_25!$L46</f>
        <v>31312.03</v>
      </c>
      <c r="V49" s="2">
        <f>nov_25!$L48</f>
        <v>30793.88</v>
      </c>
      <c r="W49" s="17">
        <f>dec_25!L48</f>
        <v>27602.93</v>
      </c>
      <c r="X49" s="18">
        <f>jan_26!L49</f>
        <v>24656.33</v>
      </c>
    </row>
    <row r="50" spans="1:24" x14ac:dyDescent="0.35">
      <c r="A50" s="8" t="s">
        <v>56</v>
      </c>
      <c r="B50" s="2">
        <f>mar_24!L47</f>
        <v>0</v>
      </c>
      <c r="C50" s="2">
        <f>apr_24!L47</f>
        <v>0</v>
      </c>
      <c r="D50" s="2">
        <f>may_24!$L47</f>
        <v>0</v>
      </c>
      <c r="E50" s="2">
        <f>jun_24!$L47</f>
        <v>0</v>
      </c>
      <c r="F50" s="2">
        <f>jul_24!$L47</f>
        <v>0</v>
      </c>
      <c r="G50" s="2">
        <f>aug_24!$L47</f>
        <v>0</v>
      </c>
      <c r="H50" s="2">
        <f>sep_24!$L47</f>
        <v>0</v>
      </c>
      <c r="I50" s="2">
        <f>oct_24!$L47</f>
        <v>0</v>
      </c>
      <c r="J50" s="2">
        <f>nov_24!$L47</f>
        <v>0</v>
      </c>
      <c r="K50" s="2">
        <f>dec_24!$L47</f>
        <v>0</v>
      </c>
      <c r="L50" s="2">
        <f>jan_25!$L47</f>
        <v>0</v>
      </c>
      <c r="M50" s="2">
        <f>feb_25!$L47</f>
        <v>0</v>
      </c>
      <c r="N50" s="2">
        <f>mar_25!$L47</f>
        <v>0</v>
      </c>
      <c r="O50" s="2">
        <f>apr_25!$L47</f>
        <v>0</v>
      </c>
      <c r="P50" s="2">
        <f>may_25!$L47</f>
        <v>0</v>
      </c>
      <c r="Q50" s="2">
        <f>jun_25!$L47</f>
        <v>0</v>
      </c>
      <c r="R50" s="2">
        <f>jul_25!$L47</f>
        <v>0</v>
      </c>
      <c r="S50" s="2">
        <f>aug_25!$L47</f>
        <v>28563.350000000002</v>
      </c>
      <c r="T50" s="2">
        <f>sep_25!$L47</f>
        <v>50370.17</v>
      </c>
      <c r="U50" s="2">
        <f>oct_25!$L47</f>
        <v>66648.95</v>
      </c>
      <c r="V50" s="2">
        <f>nov_25!$L49</f>
        <v>72326.429999999993</v>
      </c>
      <c r="W50" s="17">
        <f>dec_25!L49</f>
        <v>66639.03</v>
      </c>
      <c r="X50" s="18">
        <f>jan_26!L50</f>
        <v>52987.8</v>
      </c>
    </row>
    <row r="51" spans="1:24" x14ac:dyDescent="0.35">
      <c r="A51" s="8" t="s">
        <v>57</v>
      </c>
      <c r="B51" s="2">
        <f>mar_24!L48</f>
        <v>0</v>
      </c>
      <c r="C51" s="2">
        <f>apr_24!L48</f>
        <v>0</v>
      </c>
      <c r="D51" s="2">
        <f>may_24!$L48</f>
        <v>0</v>
      </c>
      <c r="E51" s="2">
        <f>jun_24!$L48</f>
        <v>0</v>
      </c>
      <c r="F51" s="2">
        <f>jul_24!$L48</f>
        <v>0</v>
      </c>
      <c r="G51" s="2">
        <f>aug_24!$L48</f>
        <v>0</v>
      </c>
      <c r="H51" s="2">
        <f>sep_24!$L48</f>
        <v>0</v>
      </c>
      <c r="I51" s="2">
        <f>oct_24!$L48</f>
        <v>0</v>
      </c>
      <c r="J51" s="2">
        <f>nov_24!$L48</f>
        <v>0</v>
      </c>
      <c r="K51" s="2">
        <f>dec_24!$L48</f>
        <v>4007.2300000000005</v>
      </c>
      <c r="L51" s="2">
        <f>jan_25!$L48</f>
        <v>6457.6200000000008</v>
      </c>
      <c r="M51" s="2">
        <f>feb_25!$L48</f>
        <v>5700.7599999999993</v>
      </c>
      <c r="N51" s="2">
        <f>mar_25!$L48</f>
        <v>6185.74</v>
      </c>
      <c r="O51" s="2">
        <f>apr_25!$L48</f>
        <v>5993.34</v>
      </c>
      <c r="P51" s="2">
        <f>may_25!$L48</f>
        <v>5313.78</v>
      </c>
      <c r="Q51" s="2">
        <f>jun_25!$L48</f>
        <v>7573.77</v>
      </c>
      <c r="R51" s="2">
        <f>jul_25!$L48</f>
        <v>6221.23</v>
      </c>
      <c r="S51" s="2">
        <f>aug_25!$L48</f>
        <v>8404.7200000000012</v>
      </c>
      <c r="T51" s="2">
        <f>sep_25!$L48</f>
        <v>9085.9700000000012</v>
      </c>
      <c r="U51" s="2">
        <f>oct_25!$L48</f>
        <v>15722.11</v>
      </c>
      <c r="V51" s="2">
        <f>nov_25!$L50</f>
        <v>15917.06</v>
      </c>
      <c r="W51" s="17">
        <f>dec_25!L50</f>
        <v>15678.809999999998</v>
      </c>
      <c r="X51" s="18">
        <f>jan_26!L51</f>
        <v>16043.939999999999</v>
      </c>
    </row>
    <row r="52" spans="1:24" x14ac:dyDescent="0.35">
      <c r="A52" s="8" t="s">
        <v>58</v>
      </c>
      <c r="B52" s="2">
        <f>mar_24!L49</f>
        <v>0</v>
      </c>
      <c r="C52" s="2">
        <f>apr_24!L49</f>
        <v>0</v>
      </c>
      <c r="D52" s="2">
        <f>may_24!$L49</f>
        <v>0</v>
      </c>
      <c r="E52" s="2">
        <f>jun_24!$L49</f>
        <v>0</v>
      </c>
      <c r="F52" s="2">
        <f>jul_24!$L49</f>
        <v>0</v>
      </c>
      <c r="G52" s="2">
        <f>aug_24!$L49</f>
        <v>0</v>
      </c>
      <c r="H52" s="2">
        <f>sep_24!$L49</f>
        <v>179.72</v>
      </c>
      <c r="I52" s="2">
        <f>oct_24!$L49</f>
        <v>1798.2</v>
      </c>
      <c r="J52" s="2">
        <f>nov_24!$L49</f>
        <v>1784.0300000000004</v>
      </c>
      <c r="K52" s="2">
        <f>dec_24!$L49</f>
        <v>1842.44</v>
      </c>
      <c r="L52" s="2">
        <f>jan_25!$L49</f>
        <v>1971.08</v>
      </c>
      <c r="M52" s="2">
        <f>feb_25!$L49</f>
        <v>837.52</v>
      </c>
      <c r="N52" s="2">
        <f>mar_25!$L49</f>
        <v>0</v>
      </c>
      <c r="O52" s="2">
        <f>apr_25!$L49</f>
        <v>0</v>
      </c>
      <c r="P52" s="2">
        <f>may_25!$L49</f>
        <v>0</v>
      </c>
      <c r="Q52" s="2">
        <f>jun_25!$L49</f>
        <v>2961.02</v>
      </c>
      <c r="R52" s="2">
        <f>jul_25!$L49</f>
        <v>2569.6800000000003</v>
      </c>
      <c r="S52" s="2">
        <f>aug_25!$L49</f>
        <v>3040.0599999999995</v>
      </c>
      <c r="T52" s="2">
        <f>sep_25!$L49</f>
        <v>2804.78</v>
      </c>
      <c r="U52" s="2">
        <f>oct_25!$L49</f>
        <v>3055.27</v>
      </c>
      <c r="V52" s="2">
        <f>nov_25!$L51</f>
        <v>4522.5300000000007</v>
      </c>
      <c r="W52" s="17">
        <f>dec_25!L51</f>
        <v>5264.3300000000008</v>
      </c>
      <c r="X52" s="18">
        <f>jan_26!L52</f>
        <v>4147.6499999999996</v>
      </c>
    </row>
    <row r="53" spans="1:24" x14ac:dyDescent="0.35">
      <c r="A53" s="8" t="s">
        <v>59</v>
      </c>
      <c r="B53" s="2">
        <f>mar_24!L50</f>
        <v>0</v>
      </c>
      <c r="C53" s="2">
        <f>apr_24!L50</f>
        <v>0</v>
      </c>
      <c r="D53" s="2">
        <f>may_24!$L50</f>
        <v>0</v>
      </c>
      <c r="E53" s="2">
        <f>jun_24!$L50</f>
        <v>0</v>
      </c>
      <c r="F53" s="2">
        <f>jul_24!$L50</f>
        <v>0</v>
      </c>
      <c r="G53" s="2">
        <f>aug_24!$L50</f>
        <v>0</v>
      </c>
      <c r="H53" s="2">
        <f>sep_24!$L50</f>
        <v>0</v>
      </c>
      <c r="I53" s="2">
        <f>oct_24!$L50</f>
        <v>0</v>
      </c>
      <c r="J53" s="2">
        <f>nov_24!$L50</f>
        <v>0</v>
      </c>
      <c r="K53" s="2">
        <f>dec_24!$L50</f>
        <v>0</v>
      </c>
      <c r="L53" s="2">
        <f>jan_25!$L50</f>
        <v>0</v>
      </c>
      <c r="M53" s="2">
        <f>feb_25!$L50</f>
        <v>0</v>
      </c>
      <c r="N53" s="2">
        <f>mar_25!$L50</f>
        <v>0</v>
      </c>
      <c r="O53" s="2">
        <f>apr_25!$L50</f>
        <v>0</v>
      </c>
      <c r="P53" s="2">
        <f>may_25!$L50</f>
        <v>0</v>
      </c>
      <c r="Q53" s="2">
        <f>jun_25!$L50</f>
        <v>0</v>
      </c>
      <c r="R53" s="2">
        <f>jul_25!$L50</f>
        <v>5349.34</v>
      </c>
      <c r="S53" s="2">
        <f>aug_25!$L50</f>
        <v>24289.729999999996</v>
      </c>
      <c r="T53" s="2">
        <f>sep_25!$L50</f>
        <v>26973.24</v>
      </c>
      <c r="U53" s="2">
        <f>oct_25!$L50</f>
        <v>28801.03</v>
      </c>
      <c r="V53" s="2">
        <f>nov_25!$L52</f>
        <v>28284.980000000003</v>
      </c>
      <c r="W53" s="17">
        <f>dec_25!L52</f>
        <v>20611.07</v>
      </c>
      <c r="X53" s="18">
        <f>jan_26!L53</f>
        <v>18812.25</v>
      </c>
    </row>
    <row r="54" spans="1:24" x14ac:dyDescent="0.35">
      <c r="A54" s="8" t="s">
        <v>60</v>
      </c>
      <c r="B54" s="2">
        <f>mar_24!L51</f>
        <v>0</v>
      </c>
      <c r="C54" s="2">
        <f>apr_24!L51</f>
        <v>0</v>
      </c>
      <c r="D54" s="2">
        <f>may_24!$L51</f>
        <v>0</v>
      </c>
      <c r="E54" s="2">
        <f>jun_24!$L51</f>
        <v>0</v>
      </c>
      <c r="F54" s="2">
        <f>jul_24!$L51</f>
        <v>0</v>
      </c>
      <c r="G54" s="2">
        <f>aug_24!$L51</f>
        <v>0</v>
      </c>
      <c r="H54" s="2">
        <f>sep_24!$L51</f>
        <v>0</v>
      </c>
      <c r="I54" s="2">
        <f>oct_24!$L51</f>
        <v>0</v>
      </c>
      <c r="J54" s="2">
        <f>nov_24!$L51</f>
        <v>0</v>
      </c>
      <c r="K54" s="2">
        <f>dec_24!$L51</f>
        <v>0</v>
      </c>
      <c r="L54" s="2">
        <f>jan_25!$L51</f>
        <v>0</v>
      </c>
      <c r="M54" s="2">
        <f>feb_25!$L51</f>
        <v>0</v>
      </c>
      <c r="N54" s="2">
        <f>mar_25!$L51</f>
        <v>0</v>
      </c>
      <c r="O54" s="2">
        <f>apr_25!$L51</f>
        <v>0</v>
      </c>
      <c r="P54" s="2">
        <f>may_25!$L51</f>
        <v>0</v>
      </c>
      <c r="Q54" s="2">
        <f>jun_25!$L51</f>
        <v>0</v>
      </c>
      <c r="R54" s="2">
        <f>jul_25!$L51</f>
        <v>984.43</v>
      </c>
      <c r="S54" s="2">
        <f>aug_25!$L51</f>
        <v>16331.11</v>
      </c>
      <c r="T54" s="2">
        <f>sep_25!$L51</f>
        <v>11457.14</v>
      </c>
      <c r="U54" s="2">
        <f>oct_25!$L51</f>
        <v>13704.5</v>
      </c>
      <c r="V54" s="2">
        <f>nov_25!$L53</f>
        <v>15878.05</v>
      </c>
      <c r="W54" s="17">
        <f>dec_25!L53</f>
        <v>18016.490000000002</v>
      </c>
      <c r="X54" s="18">
        <f>jan_26!L54</f>
        <v>17352.699999999997</v>
      </c>
    </row>
    <row r="55" spans="1:24" x14ac:dyDescent="0.35">
      <c r="A55" s="8" t="s">
        <v>61</v>
      </c>
      <c r="B55" s="2">
        <f>mar_24!L52</f>
        <v>0</v>
      </c>
      <c r="C55" s="2">
        <f>apr_24!L52</f>
        <v>0</v>
      </c>
      <c r="D55" s="2">
        <f>may_24!$L52</f>
        <v>0</v>
      </c>
      <c r="E55" s="2">
        <f>jun_24!$L52</f>
        <v>0</v>
      </c>
      <c r="F55" s="2">
        <f>jul_24!$L52</f>
        <v>9380.25</v>
      </c>
      <c r="G55" s="2">
        <f>aug_24!$L52</f>
        <v>16621.900000000001</v>
      </c>
      <c r="H55" s="2">
        <f>sep_24!$L52</f>
        <v>15195.44</v>
      </c>
      <c r="I55" s="2">
        <f>oct_24!$L52</f>
        <v>19445.46</v>
      </c>
      <c r="J55" s="2">
        <f>nov_24!$L52</f>
        <v>20985.47</v>
      </c>
      <c r="K55" s="2">
        <f>dec_24!$L52</f>
        <v>17715.689999999999</v>
      </c>
      <c r="L55" s="2">
        <f>jan_25!$L52</f>
        <v>19640.870000000003</v>
      </c>
      <c r="M55" s="2">
        <f>feb_25!$L52</f>
        <v>17622.330000000002</v>
      </c>
      <c r="N55" s="2">
        <f>mar_25!$L52</f>
        <v>19405.71</v>
      </c>
      <c r="O55" s="2">
        <f>apr_25!$L52</f>
        <v>16709.66</v>
      </c>
      <c r="P55" s="2">
        <f>may_25!$L52</f>
        <v>20675.799999999996</v>
      </c>
      <c r="Q55" s="2">
        <f>jun_25!$L52</f>
        <v>27375.129999999997</v>
      </c>
      <c r="R55" s="2">
        <f>jul_25!$L52</f>
        <v>22089.43</v>
      </c>
      <c r="S55" s="2">
        <f>aug_25!$L52</f>
        <v>25621.21</v>
      </c>
      <c r="T55" s="2">
        <f>sep_25!$L52</f>
        <v>23938.85</v>
      </c>
      <c r="U55" s="2">
        <f>oct_25!$L52</f>
        <v>26161.810000000005</v>
      </c>
      <c r="V55" s="2">
        <f>nov_25!$L54</f>
        <v>25209.119999999999</v>
      </c>
      <c r="W55" s="17">
        <f>dec_25!L54</f>
        <v>19805.66</v>
      </c>
      <c r="X55" s="18">
        <f>jan_26!L55</f>
        <v>6208.8700000000008</v>
      </c>
    </row>
    <row r="56" spans="1:24" x14ac:dyDescent="0.35">
      <c r="A56" s="8" t="s">
        <v>62</v>
      </c>
      <c r="B56" s="2">
        <f>mar_24!L53</f>
        <v>0</v>
      </c>
      <c r="C56" s="2">
        <f>apr_24!L53</f>
        <v>10309.6</v>
      </c>
      <c r="D56" s="2">
        <f>may_24!$L53</f>
        <v>49939.119999999995</v>
      </c>
      <c r="E56" s="2">
        <f>jun_24!$L53</f>
        <v>69023.149999999994</v>
      </c>
      <c r="F56" s="2">
        <f>jul_24!$L53</f>
        <v>69063.95</v>
      </c>
      <c r="G56" s="2">
        <f>aug_24!$L53</f>
        <v>62043.42</v>
      </c>
      <c r="H56" s="2">
        <f>sep_24!$L53</f>
        <v>65909.03</v>
      </c>
      <c r="I56" s="2">
        <f>oct_24!$L53</f>
        <v>80497.58</v>
      </c>
      <c r="J56" s="2">
        <f>nov_24!$L53</f>
        <v>83805.72</v>
      </c>
      <c r="K56" s="2">
        <f>dec_24!$L53</f>
        <v>63867.86</v>
      </c>
      <c r="L56" s="2">
        <f>jan_25!$L53</f>
        <v>82833.739999999991</v>
      </c>
      <c r="M56" s="2">
        <f>feb_25!$L53</f>
        <v>68824.989999999991</v>
      </c>
      <c r="N56" s="2">
        <f>mar_25!$L53</f>
        <v>83589.929999999993</v>
      </c>
      <c r="O56" s="2">
        <f>apr_25!$L53</f>
        <v>85659.18</v>
      </c>
      <c r="P56" s="2">
        <f>may_25!$L53</f>
        <v>113416.14</v>
      </c>
      <c r="Q56" s="2">
        <f>jun_25!$L53</f>
        <v>114094.69</v>
      </c>
      <c r="R56" s="2">
        <f>jul_25!$L53</f>
        <v>118452.27</v>
      </c>
      <c r="S56" s="2">
        <f>aug_25!$L53</f>
        <v>119345.56</v>
      </c>
      <c r="T56" s="2">
        <f>sep_25!$L53</f>
        <v>126058.47</v>
      </c>
      <c r="U56" s="2">
        <f>oct_25!$L53</f>
        <v>137872.87</v>
      </c>
      <c r="V56" s="2">
        <f>nov_25!$L55</f>
        <v>125049.05</v>
      </c>
      <c r="W56" s="17">
        <f>dec_25!L55</f>
        <v>99667.66</v>
      </c>
      <c r="X56" s="18">
        <f>jan_26!L56</f>
        <v>86129.64</v>
      </c>
    </row>
    <row r="57" spans="1:24" x14ac:dyDescent="0.35">
      <c r="A57" s="8" t="s">
        <v>63</v>
      </c>
      <c r="B57" s="2">
        <f>mar_24!L54</f>
        <v>0</v>
      </c>
      <c r="C57" s="2">
        <f>apr_24!L54</f>
        <v>0</v>
      </c>
      <c r="D57" s="2">
        <f>may_24!$L54</f>
        <v>0</v>
      </c>
      <c r="E57" s="2">
        <f>jun_24!$L54</f>
        <v>0</v>
      </c>
      <c r="F57" s="2">
        <f>jul_24!$L54</f>
        <v>0</v>
      </c>
      <c r="G57" s="2">
        <f>aug_24!$L54</f>
        <v>0</v>
      </c>
      <c r="H57" s="2">
        <f>sep_24!$L54</f>
        <v>0</v>
      </c>
      <c r="I57" s="2">
        <f>oct_24!$L54</f>
        <v>0</v>
      </c>
      <c r="J57" s="2">
        <f>nov_24!$L54</f>
        <v>0</v>
      </c>
      <c r="K57" s="2">
        <f>dec_24!$L54</f>
        <v>0</v>
      </c>
      <c r="L57" s="2">
        <f>jan_25!$L54</f>
        <v>0</v>
      </c>
      <c r="M57" s="2">
        <f>feb_25!$L54</f>
        <v>0</v>
      </c>
      <c r="N57" s="2">
        <f>mar_25!$L54</f>
        <v>0</v>
      </c>
      <c r="O57" s="2">
        <f>apr_25!$L54</f>
        <v>14203.800000000001</v>
      </c>
      <c r="P57" s="2">
        <f>may_25!$L54</f>
        <v>21128.870000000003</v>
      </c>
      <c r="Q57" s="2">
        <f>jun_25!$L54</f>
        <v>21619.82</v>
      </c>
      <c r="R57" s="2">
        <f>jul_25!$L54</f>
        <v>14691.11</v>
      </c>
      <c r="S57" s="2">
        <f>aug_25!$L54</f>
        <v>19619.269999999997</v>
      </c>
      <c r="T57" s="2">
        <f>sep_25!$L54</f>
        <v>24506.92</v>
      </c>
      <c r="U57" s="2">
        <f>oct_25!$L54</f>
        <v>33959.61</v>
      </c>
      <c r="V57" s="2">
        <f>nov_25!$L56</f>
        <v>30732.769999999997</v>
      </c>
      <c r="W57" s="17">
        <f>dec_25!L56</f>
        <v>44684.289999999994</v>
      </c>
      <c r="X57" s="18">
        <f>jan_26!L57</f>
        <v>57219.06</v>
      </c>
    </row>
    <row r="58" spans="1:24" x14ac:dyDescent="0.35">
      <c r="A58" s="8" t="s">
        <v>64</v>
      </c>
      <c r="B58" s="2">
        <f>mar_24!L55</f>
        <v>0</v>
      </c>
      <c r="C58" s="2">
        <f>apr_24!L55</f>
        <v>0</v>
      </c>
      <c r="D58" s="2">
        <f>may_24!$L55</f>
        <v>0</v>
      </c>
      <c r="E58" s="2">
        <f>jun_24!$L55</f>
        <v>0</v>
      </c>
      <c r="F58" s="2">
        <f>jul_24!$L55</f>
        <v>0</v>
      </c>
      <c r="G58" s="2">
        <f>aug_24!$L55</f>
        <v>0</v>
      </c>
      <c r="H58" s="2">
        <f>sep_24!$L55</f>
        <v>0</v>
      </c>
      <c r="I58" s="2">
        <f>oct_24!$L55</f>
        <v>0</v>
      </c>
      <c r="J58" s="2">
        <f>nov_24!$L55</f>
        <v>0</v>
      </c>
      <c r="K58" s="2">
        <f>dec_24!$L55</f>
        <v>0</v>
      </c>
      <c r="L58" s="2">
        <f>jan_25!$L55</f>
        <v>0</v>
      </c>
      <c r="M58" s="2">
        <f>feb_25!$L55</f>
        <v>0</v>
      </c>
      <c r="N58" s="2">
        <f>mar_25!$L55</f>
        <v>0</v>
      </c>
      <c r="O58" s="2">
        <f>apr_25!$L55</f>
        <v>0</v>
      </c>
      <c r="P58" s="2">
        <f>may_25!$L55</f>
        <v>0</v>
      </c>
      <c r="Q58" s="2">
        <f>jun_25!$L55</f>
        <v>0</v>
      </c>
      <c r="R58" s="2">
        <f>jul_25!$L55</f>
        <v>0</v>
      </c>
      <c r="S58" s="2">
        <f>aug_25!$L55</f>
        <v>0</v>
      </c>
      <c r="T58" s="2">
        <f>sep_25!$L55</f>
        <v>0</v>
      </c>
      <c r="U58" s="2">
        <f>oct_25!$L55</f>
        <v>4657.6900000000005</v>
      </c>
      <c r="V58" s="2">
        <f>nov_25!$L57</f>
        <v>9385.0199999999986</v>
      </c>
      <c r="W58" s="17">
        <f>dec_25!L57</f>
        <v>11475.33</v>
      </c>
      <c r="X58" s="18">
        <f>jan_26!L58</f>
        <v>11562.05</v>
      </c>
    </row>
    <row r="59" spans="1:24" x14ac:dyDescent="0.35">
      <c r="A59" s="8" t="s">
        <v>65</v>
      </c>
      <c r="B59" s="2">
        <f>mar_24!L56</f>
        <v>0</v>
      </c>
      <c r="C59" s="2">
        <f>apr_24!L56</f>
        <v>0</v>
      </c>
      <c r="D59" s="2">
        <f>may_24!$L56</f>
        <v>0</v>
      </c>
      <c r="E59" s="2">
        <f>jun_24!$L56</f>
        <v>0</v>
      </c>
      <c r="F59" s="2">
        <f>jul_24!$L56</f>
        <v>0</v>
      </c>
      <c r="G59" s="2">
        <f>aug_24!$L56</f>
        <v>0</v>
      </c>
      <c r="H59" s="2">
        <f>sep_24!$L56</f>
        <v>0</v>
      </c>
      <c r="I59" s="2">
        <f>oct_24!$L56</f>
        <v>0</v>
      </c>
      <c r="J59" s="2">
        <f>nov_24!$L56</f>
        <v>0</v>
      </c>
      <c r="K59" s="2">
        <f>dec_24!$L56</f>
        <v>0</v>
      </c>
      <c r="L59" s="2">
        <f>jan_25!$L56</f>
        <v>0</v>
      </c>
      <c r="M59" s="2">
        <f>feb_25!$L56</f>
        <v>0</v>
      </c>
      <c r="N59" s="2">
        <f>mar_25!$L56</f>
        <v>0</v>
      </c>
      <c r="O59" s="2">
        <f>apr_25!$L56</f>
        <v>0</v>
      </c>
      <c r="P59" s="2">
        <f>may_25!$L56</f>
        <v>0</v>
      </c>
      <c r="Q59" s="2">
        <f>jun_25!$L56</f>
        <v>0</v>
      </c>
      <c r="R59" s="2">
        <f>jul_25!$L56</f>
        <v>0</v>
      </c>
      <c r="S59" s="2">
        <f>aug_25!$L56</f>
        <v>7094.85</v>
      </c>
      <c r="T59" s="2">
        <f>sep_25!$L56</f>
        <v>20187.95</v>
      </c>
      <c r="U59" s="2">
        <f>oct_25!$L56</f>
        <v>32203.25</v>
      </c>
      <c r="V59" s="2">
        <f>nov_25!$L58</f>
        <v>36319.479999999996</v>
      </c>
      <c r="W59" s="17">
        <f>dec_25!L58</f>
        <v>42268.209999999992</v>
      </c>
      <c r="X59" s="18">
        <f>jan_26!L59</f>
        <v>34449.449999999997</v>
      </c>
    </row>
    <row r="60" spans="1:24" x14ac:dyDescent="0.35">
      <c r="A60" s="8" t="s">
        <v>66</v>
      </c>
      <c r="B60" s="2">
        <f>mar_24!L57</f>
        <v>0</v>
      </c>
      <c r="C60" s="2">
        <f>apr_24!L57</f>
        <v>0</v>
      </c>
      <c r="D60" s="2">
        <f>may_24!$L57</f>
        <v>0</v>
      </c>
      <c r="E60" s="2">
        <f>jun_24!$L57</f>
        <v>0</v>
      </c>
      <c r="F60" s="2">
        <f>jul_24!$L57</f>
        <v>0</v>
      </c>
      <c r="G60" s="2">
        <f>aug_24!$L57</f>
        <v>0</v>
      </c>
      <c r="H60" s="2">
        <f>sep_24!$L57</f>
        <v>0</v>
      </c>
      <c r="I60" s="2">
        <f>oct_24!$L57</f>
        <v>0</v>
      </c>
      <c r="J60" s="2">
        <f>nov_24!$L57</f>
        <v>0</v>
      </c>
      <c r="K60" s="2">
        <f>dec_24!$L57</f>
        <v>0</v>
      </c>
      <c r="L60" s="2">
        <f>jan_25!$L57</f>
        <v>0</v>
      </c>
      <c r="M60" s="2">
        <f>feb_25!$L57</f>
        <v>0</v>
      </c>
      <c r="N60" s="2">
        <f>mar_25!$L57</f>
        <v>0</v>
      </c>
      <c r="O60" s="2">
        <f>apr_25!$L57</f>
        <v>0</v>
      </c>
      <c r="P60" s="2">
        <f>may_25!$L57</f>
        <v>0</v>
      </c>
      <c r="Q60" s="2">
        <f>jun_25!$L57</f>
        <v>0</v>
      </c>
      <c r="R60" s="2">
        <f>jul_25!$L57</f>
        <v>0</v>
      </c>
      <c r="S60" s="2">
        <f>aug_25!$L57</f>
        <v>0</v>
      </c>
      <c r="T60" s="2">
        <f>sep_25!$L57</f>
        <v>7371.42</v>
      </c>
      <c r="U60" s="2">
        <f>oct_25!$L57</f>
        <v>19494.93</v>
      </c>
      <c r="V60" s="2">
        <f>nov_25!$L59</f>
        <v>17641.560000000001</v>
      </c>
      <c r="W60" s="17">
        <f>dec_25!L59</f>
        <v>18494.89</v>
      </c>
      <c r="X60" s="18">
        <f>jan_26!L60</f>
        <v>16410.599999999999</v>
      </c>
    </row>
    <row r="61" spans="1:24" x14ac:dyDescent="0.35">
      <c r="A61" s="8" t="s">
        <v>67</v>
      </c>
      <c r="B61" s="2">
        <f>mar_24!L58</f>
        <v>0</v>
      </c>
      <c r="C61" s="2">
        <f>apr_24!L58</f>
        <v>0</v>
      </c>
      <c r="D61" s="2">
        <f>may_24!$L58</f>
        <v>0</v>
      </c>
      <c r="E61" s="2">
        <f>jun_24!$L58</f>
        <v>0</v>
      </c>
      <c r="F61" s="2">
        <f>jul_24!$L58</f>
        <v>0</v>
      </c>
      <c r="G61" s="2">
        <f>aug_24!$L58</f>
        <v>0</v>
      </c>
      <c r="H61" s="2">
        <f>sep_24!$L58</f>
        <v>0</v>
      </c>
      <c r="I61" s="2">
        <f>oct_24!$L58</f>
        <v>1693.15</v>
      </c>
      <c r="J61" s="2">
        <f>nov_24!$L58</f>
        <v>5809.32</v>
      </c>
      <c r="K61" s="2">
        <f>dec_24!$L58</f>
        <v>7791.5300000000007</v>
      </c>
      <c r="L61" s="2">
        <f>jan_25!$L58</f>
        <v>9775.74</v>
      </c>
      <c r="M61" s="2">
        <f>feb_25!$L58</f>
        <v>5966.4600000000009</v>
      </c>
      <c r="N61" s="2">
        <f>mar_25!$L58</f>
        <v>7170.91</v>
      </c>
      <c r="O61" s="2">
        <f>apr_25!$L58</f>
        <v>7158.23</v>
      </c>
      <c r="P61" s="2">
        <f>may_25!$L58</f>
        <v>7538.76</v>
      </c>
      <c r="Q61" s="2">
        <f>jun_25!$L58</f>
        <v>9395.260000000002</v>
      </c>
      <c r="R61" s="2">
        <f>jul_25!$L58</f>
        <v>9286.59</v>
      </c>
      <c r="S61" s="2">
        <f>aug_25!$L58</f>
        <v>9006.1</v>
      </c>
      <c r="T61" s="2">
        <f>sep_25!$L58</f>
        <v>8213.5499999999993</v>
      </c>
      <c r="U61" s="2">
        <f>oct_25!$L58</f>
        <v>10320.41</v>
      </c>
      <c r="V61" s="2">
        <f>nov_25!$L60</f>
        <v>10261.41</v>
      </c>
      <c r="W61" s="17">
        <f>dec_25!L60</f>
        <v>16410.28</v>
      </c>
      <c r="X61" s="18">
        <f>jan_26!L61</f>
        <v>14558.46</v>
      </c>
    </row>
    <row r="62" spans="1:24" x14ac:dyDescent="0.35">
      <c r="A62" s="8" t="s">
        <v>68</v>
      </c>
      <c r="B62" s="2">
        <f>mar_24!L59</f>
        <v>0</v>
      </c>
      <c r="C62" s="2">
        <f>apr_24!L59</f>
        <v>0</v>
      </c>
      <c r="D62" s="2">
        <f>may_24!$L59</f>
        <v>0</v>
      </c>
      <c r="E62" s="2">
        <f>jun_24!$L59</f>
        <v>0</v>
      </c>
      <c r="F62" s="2">
        <f>jul_24!$L59</f>
        <v>0</v>
      </c>
      <c r="G62" s="2">
        <f>aug_24!$L59</f>
        <v>0</v>
      </c>
      <c r="H62" s="2">
        <f>sep_24!$L59</f>
        <v>0</v>
      </c>
      <c r="I62" s="2">
        <f>oct_24!$L59</f>
        <v>0</v>
      </c>
      <c r="J62" s="2">
        <f>nov_24!$L59</f>
        <v>0</v>
      </c>
      <c r="K62" s="2">
        <f>dec_24!$L59</f>
        <v>0</v>
      </c>
      <c r="L62" s="2">
        <f>jan_25!$L59</f>
        <v>0</v>
      </c>
      <c r="M62" s="2">
        <f>feb_25!$L59</f>
        <v>0</v>
      </c>
      <c r="N62" s="2">
        <f>mar_25!$L59</f>
        <v>0</v>
      </c>
      <c r="O62" s="2">
        <f>apr_25!$L59</f>
        <v>0</v>
      </c>
      <c r="P62" s="2">
        <f>may_25!$L59</f>
        <v>0</v>
      </c>
      <c r="Q62" s="2">
        <f>jun_25!$L59</f>
        <v>0</v>
      </c>
      <c r="R62" s="2">
        <f>jul_25!$L59</f>
        <v>0</v>
      </c>
      <c r="S62" s="2">
        <f>aug_25!$L59</f>
        <v>10243.459999999999</v>
      </c>
      <c r="T62" s="2">
        <f>sep_25!$L59</f>
        <v>24446.080000000002</v>
      </c>
      <c r="U62" s="2">
        <f>oct_25!$L59</f>
        <v>28912.15</v>
      </c>
      <c r="V62" s="2">
        <f>nov_25!$L61</f>
        <v>31123.589999999997</v>
      </c>
      <c r="W62" s="17">
        <f>dec_25!L61</f>
        <v>31264.949999999997</v>
      </c>
      <c r="X62" s="18">
        <f>jan_26!L62</f>
        <v>27723.29</v>
      </c>
    </row>
    <row r="63" spans="1:24" s="9" customFormat="1" x14ac:dyDescent="0.35">
      <c r="A63" s="8" t="s">
        <v>69</v>
      </c>
      <c r="B63" s="11">
        <f>SUM(B2:B62)</f>
        <v>7497.9700000000012</v>
      </c>
      <c r="C63" s="11">
        <f t="shared" ref="C63:W63" si="0">SUM(C2:C62)</f>
        <v>40555.33</v>
      </c>
      <c r="D63" s="11">
        <f t="shared" si="0"/>
        <v>85901.819999999992</v>
      </c>
      <c r="E63" s="11">
        <f t="shared" si="0"/>
        <v>116895.69999999998</v>
      </c>
      <c r="F63" s="11">
        <f t="shared" si="0"/>
        <v>160484.02000000002</v>
      </c>
      <c r="G63" s="11">
        <f t="shared" si="0"/>
        <v>173484.83999999997</v>
      </c>
      <c r="H63" s="11">
        <f t="shared" si="0"/>
        <v>217909.59</v>
      </c>
      <c r="I63" s="11">
        <f t="shared" si="0"/>
        <v>282288.94000000006</v>
      </c>
      <c r="J63" s="11">
        <f t="shared" si="0"/>
        <v>305103.03999999998</v>
      </c>
      <c r="K63" s="11">
        <f t="shared" si="0"/>
        <v>362617.75</v>
      </c>
      <c r="L63" s="11">
        <f t="shared" si="0"/>
        <v>450139.79999999993</v>
      </c>
      <c r="M63" s="11">
        <f t="shared" si="0"/>
        <v>351093.64</v>
      </c>
      <c r="N63" s="11">
        <f t="shared" si="0"/>
        <v>419740.23999999993</v>
      </c>
      <c r="O63" s="11">
        <f t="shared" si="0"/>
        <v>470485.74999999994</v>
      </c>
      <c r="P63" s="11">
        <f t="shared" si="0"/>
        <v>548316.57000000007</v>
      </c>
      <c r="Q63" s="11">
        <f t="shared" si="0"/>
        <v>570792.25999999989</v>
      </c>
      <c r="R63" s="11">
        <f t="shared" si="0"/>
        <v>711756.07</v>
      </c>
      <c r="S63" s="11">
        <f t="shared" si="0"/>
        <v>919004.04999999981</v>
      </c>
      <c r="T63" s="11">
        <f t="shared" si="0"/>
        <v>1016035.0800000002</v>
      </c>
      <c r="U63" s="11">
        <f t="shared" si="0"/>
        <v>1305438.93</v>
      </c>
      <c r="V63" s="11">
        <f t="shared" si="0"/>
        <v>1427004.6</v>
      </c>
      <c r="W63" s="11">
        <f t="shared" si="0"/>
        <v>1457414.5399999998</v>
      </c>
      <c r="X63" s="11">
        <f>SUM(X2:X62)</f>
        <v>1349389.71</v>
      </c>
    </row>
    <row r="64" spans="1:24" x14ac:dyDescent="0.35">
      <c r="B64" s="2"/>
      <c r="C64" s="2"/>
      <c r="W64" s="17"/>
    </row>
  </sheetData>
  <autoFilter ref="A1:Z63" xr:uid="{16A113AF-A4B5-4ABE-AD75-2CEBD805F2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mar_24</vt:lpstr>
      <vt:lpstr>apr_24</vt:lpstr>
      <vt:lpstr>may_24</vt:lpstr>
      <vt:lpstr>jun_24</vt:lpstr>
      <vt:lpstr>jul_24</vt:lpstr>
      <vt:lpstr>aug_24</vt:lpstr>
      <vt:lpstr>sep_24</vt:lpstr>
      <vt:lpstr>oct_24</vt:lpstr>
      <vt:lpstr>nov_24</vt:lpstr>
      <vt:lpstr>dec_24</vt:lpstr>
      <vt:lpstr>jan_25</vt:lpstr>
      <vt:lpstr>feb_25</vt:lpstr>
      <vt:lpstr>mar_25</vt:lpstr>
      <vt:lpstr>apr_25</vt:lpstr>
      <vt:lpstr>may_25</vt:lpstr>
      <vt:lpstr>jun_25</vt:lpstr>
      <vt:lpstr>jul_25</vt:lpstr>
      <vt:lpstr>aug_25</vt:lpstr>
      <vt:lpstr>sep_25</vt:lpstr>
      <vt:lpstr>oct_25</vt:lpstr>
      <vt:lpstr>nov_25</vt:lpstr>
      <vt:lpstr>dec_25</vt:lpstr>
      <vt:lpstr>jan_26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Gimson Waibala</dc:creator>
  <cp:lastModifiedBy>User</cp:lastModifiedBy>
  <dcterms:created xsi:type="dcterms:W3CDTF">2025-12-20T13:56:40Z</dcterms:created>
  <dcterms:modified xsi:type="dcterms:W3CDTF">2026-02-05T01:00:49Z</dcterms:modified>
</cp:coreProperties>
</file>